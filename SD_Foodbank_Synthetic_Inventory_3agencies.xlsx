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 Data (filtered)" sheetId="2" state="visible" r:id="rId4"/>
    <sheet name="Inventory" sheetId="3" state="visible" r:id="rId5"/>
    <sheet name="Locations &amp; Capacity" sheetId="4" state="visible" r:id="rId6"/>
    <sheet name="Category x Locatio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<sst xmlns="http://schemas.openxmlformats.org/spreadsheetml/2006/main" count="830" uniqueCount="161">
  <si>
    <t xml:space="preserve">San Diego Food Bank Network — Synthetic Inventory (grounded in real partner-agency records)</t>
  </si>
  <si>
    <t xml:space="preserve">Purpose: model what each site currently holds (item, unit size, quantity, weight) and how that</t>
  </si>
  <si>
    <t xml:space="preserve">compares to its storage capacity, to estimate how capacity is being utilized network-wide.</t>
  </si>
  <si>
    <t xml:space="preserve">WHAT'S REAL vs. SYNTHETIC</t>
  </si>
  <si>
    <t xml:space="preserve">  Real (from google_maps_cleaned_data.csv, filtered to 3 requested names):</t>
  </si>
  <si>
    <t xml:space="preserve">    Agency name, address, city, day of distribution, service type, food category label,</t>
  </si>
  <si>
    <t xml:space="preserve">    and the diapers/period-supplies flag. See the 'Source Data (filtered)' sheet for the</t>
  </si>
  <si>
    <t xml:space="preserve">    exact rows pulled from the source file.</t>
  </si>
  <si>
    <t xml:space="preserve">  Synthetic (placeholder, for structure only):</t>
  </si>
  <si>
    <t xml:space="preserve">    Every item, unit size/weight, quantity on hand, storage capacity (lbs), and date in the</t>
  </si>
  <si>
    <t xml:space="preserve">    Inventory sheet. None of this reflects real stock levels — replace with real counts before</t>
  </si>
  <si>
    <t xml:space="preserve">    drawing operational conclusions.</t>
  </si>
  <si>
    <t xml:space="preserve">HOW EACH AGENCY'S STOCK MIX WAS CHOSEN</t>
  </si>
  <si>
    <t xml:space="preserve">  Each agency's item list was matched to its real 'food_category' field from the source data:</t>
  </si>
  <si>
    <t xml:space="preserve">    - "Neighborhood Produce (25-30lb)" (Aguilas del Poderoso Dios, Apostolic Assembly Church)</t>
  </si>
  <si>
    <t xml:space="preserve">      -&gt; stocked mostly with produce items (25-30 lb boxes/bags), consistent with that label.</t>
  </si>
  <si>
    <t xml:space="preserve">    - "Nonperishable Dry Goods + Produce" (All Saint Episcopal Church) -&gt; stocked with a mix of</t>
  </si>
  <si>
    <t xml:space="preserve">      grains/canned staples plus some produce.</t>
  </si>
  <si>
    <t xml:space="preserve">    - Apostolic Assembly Church's real 'diapers_period_supplies' flag is True, so diapers and</t>
  </si>
  <si>
    <t xml:space="preserve">      period supplies were added to its stock list.</t>
  </si>
  <si>
    <t xml:space="preserve">  Storage capacity (lbs) is a placeholder assumption tied to each site's real 'service_type':</t>
  </si>
  <si>
    <t xml:space="preserve">    - "Food To Nonprofit" (redistributes to other nonprofits) -&gt; assumed 7,000 lbs on-site capacity.</t>
  </si>
  <si>
    <t xml:space="preserve">    - "Neighborhood Distribution" (single walkup/drivethru day, mostly staging not storage)</t>
  </si>
  <si>
    <t xml:space="preserve">      -&gt; assumed 3,200 lbs capacity.</t>
  </si>
  <si>
    <t xml:space="preserve">    These capacity figures are NOT sourced from the CSV — they are illustrative assumptions</t>
  </si>
  <si>
    <t xml:space="preserve">    and should be replaced with each site's actual storage footprint if available.</t>
  </si>
  <si>
    <t xml:space="preserve">  The San Diego Food Bank Main Warehouse (Miramar) is not in the source CSV; it was added as a</t>
  </si>
  <si>
    <t xml:space="preserve">    synthetic regional hub carrying the full item catalog, for network-level context.</t>
  </si>
  <si>
    <t xml:space="preserve">SHEETS</t>
  </si>
  <si>
    <t xml:space="preserve">  Source Data (filtered) — the 3 requested agencies exactly as they appear in the uploaded CSV.</t>
  </si>
  <si>
    <t xml:space="preserve">  Inventory — one row per item x location: unit size, quantity on hand, and a formula-driven</t>
  </si>
  <si>
    <t xml:space="preserve">    total weight (lbs).</t>
  </si>
  <si>
    <t xml:space="preserve">  Locations &amp; Capacity — each site's assumed storage capacity, current load (SUMIF from</t>
  </si>
  <si>
    <t xml:space="preserve">    Inventory), and resulting utilization %.</t>
  </si>
  <si>
    <t xml:space="preserve">  Category x Location Summary — total weight (lbs) by food category and site.</t>
  </si>
  <si>
    <t xml:space="preserve">  Snapshot / "today" reference date used for generation: 2026-08-21 (workbook build date).</t>
  </si>
  <si>
    <t xml:space="preserve">name</t>
  </si>
  <si>
    <t xml:space="preserve">address</t>
  </si>
  <si>
    <t xml:space="preserve">city</t>
  </si>
  <si>
    <t xml:space="preserve">zip</t>
  </si>
  <si>
    <t xml:space="preserve">day</t>
  </si>
  <si>
    <t xml:space="preserve">service_type</t>
  </si>
  <si>
    <t xml:space="preserve">food_category</t>
  </si>
  <si>
    <t xml:space="preserve">eligibility_clean</t>
  </si>
  <si>
    <t xml:space="preserve">walkup</t>
  </si>
  <si>
    <t xml:space="preserve">drivethru</t>
  </si>
  <si>
    <t xml:space="preserve">diapers_period_supplies</t>
  </si>
  <si>
    <t xml:space="preserve">frequency</t>
  </si>
  <si>
    <t xml:space="preserve">days_of_week</t>
  </si>
  <si>
    <t xml:space="preserve">start_time</t>
  </si>
  <si>
    <t xml:space="preserve">end_time</t>
  </si>
  <si>
    <t xml:space="preserve">Weekend_Availablity</t>
  </si>
  <si>
    <t xml:space="preserve">Aguilas del Poderoso Dios</t>
  </si>
  <si>
    <t xml:space="preserve">5901 Rancho Hills Drive, San Diego, CA 92139</t>
  </si>
  <si>
    <t xml:space="preserve">San Diego</t>
  </si>
  <si>
    <t xml:space="preserve">Thursday</t>
  </si>
  <si>
    <t xml:space="preserve">Neighborhood Distribution</t>
  </si>
  <si>
    <t xml:space="preserve">Neighborhood Produce (25-30lb)</t>
  </si>
  <si>
    <t xml:space="preserve">Open to All</t>
  </si>
  <si>
    <t xml:space="preserve">Monthly</t>
  </si>
  <si>
    <t xml:space="preserve">10:00am</t>
  </si>
  <si>
    <t xml:space="preserve">food runs out</t>
  </si>
  <si>
    <t xml:space="preserve">All Saint Episcopal Church</t>
  </si>
  <si>
    <t xml:space="preserve">651 Eucalyptus Avenue, Vista, CA 92084</t>
  </si>
  <si>
    <t xml:space="preserve">Vista</t>
  </si>
  <si>
    <t xml:space="preserve">Saturday</t>
  </si>
  <si>
    <t xml:space="preserve">Food To Nonprofit</t>
  </si>
  <si>
    <t xml:space="preserve">Nonperishable Dry Goods + Produce</t>
  </si>
  <si>
    <t xml:space="preserve">11 AM</t>
  </si>
  <si>
    <t xml:space="preserve">12 PM.</t>
  </si>
  <si>
    <t xml:space="preserve">Apostolic Assembly Church</t>
  </si>
  <si>
    <t xml:space="preserve">1717 East Lincoln Avenue, Escondido, CA 92027</t>
  </si>
  <si>
    <t xml:space="preserve">Escondido</t>
  </si>
  <si>
    <t xml:space="preserve">9:30 am</t>
  </si>
  <si>
    <t xml:space="preserve">10:30 am</t>
  </si>
  <si>
    <t xml:space="preserve">Row ID</t>
  </si>
  <si>
    <t xml:space="preserve">Item</t>
  </si>
  <si>
    <t xml:space="preserve">Category</t>
  </si>
  <si>
    <t xml:space="preserve">Storage Zone</t>
  </si>
  <si>
    <t xml:space="preserve">Unit Description</t>
  </si>
  <si>
    <t xml:space="preserve">Unit Weight (lb)</t>
  </si>
  <si>
    <t xml:space="preserve">Quantity On Hand (units)</t>
  </si>
  <si>
    <t xml:space="preserve">Total Weight (lbs)</t>
  </si>
  <si>
    <t xml:space="preserve">Location</t>
  </si>
  <si>
    <t xml:space="preserve">Address</t>
  </si>
  <si>
    <t xml:space="preserve">City</t>
  </si>
  <si>
    <t xml:space="preserve">Service Type (source)</t>
  </si>
  <si>
    <t xml:space="preserve">Food Category (source)</t>
  </si>
  <si>
    <t xml:space="preserve">Date Received</t>
  </si>
  <si>
    <t xml:space="preserve">Expiration Date</t>
  </si>
  <si>
    <t xml:space="preserve">Days Until Expiration</t>
  </si>
  <si>
    <t xml:space="preserve">White Rice</t>
  </si>
  <si>
    <t xml:space="preserve">Grains/Staples</t>
  </si>
  <si>
    <t xml:space="preserve">Dry</t>
  </si>
  <si>
    <t xml:space="preserve">25 lb bag</t>
  </si>
  <si>
    <t xml:space="preserve">San Diego Food Bank - Main Warehouse (Miramar)</t>
  </si>
  <si>
    <t xml:space="preserve">9850 Distribution Ave, San Diego, CA 92121</t>
  </si>
  <si>
    <t xml:space="preserve">Regional Distribution Hub</t>
  </si>
  <si>
    <t xml:space="preserve">Full Catalog (all categories)</t>
  </si>
  <si>
    <t xml:space="preserve">Brown Rice</t>
  </si>
  <si>
    <t xml:space="preserve">20 lb bag</t>
  </si>
  <si>
    <t xml:space="preserve">Dried Pinto Beans</t>
  </si>
  <si>
    <t xml:space="preserve">Dried Black Beans</t>
  </si>
  <si>
    <t xml:space="preserve">Rolled Oats</t>
  </si>
  <si>
    <t xml:space="preserve">10 lb bag</t>
  </si>
  <si>
    <t xml:space="preserve">Spaghetti Pasta</t>
  </si>
  <si>
    <t xml:space="preserve">case of 24 (16oz)</t>
  </si>
  <si>
    <t xml:space="preserve">Penne Pasta</t>
  </si>
  <si>
    <t xml:space="preserve">All-Purpose Flour</t>
  </si>
  <si>
    <t xml:space="preserve">Cornmeal</t>
  </si>
  <si>
    <t xml:space="preserve">Canned Corn</t>
  </si>
  <si>
    <t xml:space="preserve">Canned Goods</t>
  </si>
  <si>
    <t xml:space="preserve">case of 12 (15oz)</t>
  </si>
  <si>
    <t xml:space="preserve">Canned Green Beans</t>
  </si>
  <si>
    <t xml:space="preserve">Canned Diced Tomatoes</t>
  </si>
  <si>
    <t xml:space="preserve">case of 12 (14.5oz)</t>
  </si>
  <si>
    <t xml:space="preserve">Canned Tuna</t>
  </si>
  <si>
    <t xml:space="preserve">case of 24 (5oz)</t>
  </si>
  <si>
    <t xml:space="preserve">Canned Chicken</t>
  </si>
  <si>
    <t xml:space="preserve">case of 12 (12.5oz)</t>
  </si>
  <si>
    <t xml:space="preserve">Canned Black Beans</t>
  </si>
  <si>
    <t xml:space="preserve">Canned Fruit Cocktail</t>
  </si>
  <si>
    <t xml:space="preserve">Peanut Butter</t>
  </si>
  <si>
    <t xml:space="preserve">case of 12 (18oz)</t>
  </si>
  <si>
    <t xml:space="preserve">Vegetable Oil</t>
  </si>
  <si>
    <t xml:space="preserve">case of 6 (48oz)</t>
  </si>
  <si>
    <t xml:space="preserve">Cereal (Assorted)</t>
  </si>
  <si>
    <t xml:space="preserve">case of 12</t>
  </si>
  <si>
    <t xml:space="preserve">Boxed Mac &amp; Cheese</t>
  </si>
  <si>
    <t xml:space="preserve">case of 24</t>
  </si>
  <si>
    <t xml:space="preserve">Fresh Carrots</t>
  </si>
  <si>
    <t xml:space="preserve">Produce</t>
  </si>
  <si>
    <t xml:space="preserve">Cold</t>
  </si>
  <si>
    <t xml:space="preserve">Fresh Potatoes</t>
  </si>
  <si>
    <t xml:space="preserve">30 lb bag</t>
  </si>
  <si>
    <t xml:space="preserve">Fresh Onions</t>
  </si>
  <si>
    <t xml:space="preserve">Fresh Apples</t>
  </si>
  <si>
    <t xml:space="preserve">30 lb case</t>
  </si>
  <si>
    <t xml:space="preserve">Fresh Oranges</t>
  </si>
  <si>
    <t xml:space="preserve">Fresh Bananas</t>
  </si>
  <si>
    <t xml:space="preserve">Mixed Produce Box</t>
  </si>
  <si>
    <t xml:space="preserve">25-30 lb box</t>
  </si>
  <si>
    <t xml:space="preserve">Bagged Salad Mix</t>
  </si>
  <si>
    <t xml:space="preserve">case of 4 lb</t>
  </si>
  <si>
    <t xml:space="preserve">Fresh Bell Peppers</t>
  </si>
  <si>
    <t xml:space="preserve">25 lb case</t>
  </si>
  <si>
    <t xml:space="preserve">Diapers (Size 4)</t>
  </si>
  <si>
    <t xml:space="preserve">Household/Other</t>
  </si>
  <si>
    <t xml:space="preserve">case of 132</t>
  </si>
  <si>
    <t xml:space="preserve">Period Supplies (Pads)</t>
  </si>
  <si>
    <t xml:space="preserve">case of 250</t>
  </si>
  <si>
    <t xml:space="preserve">Bottled Water</t>
  </si>
  <si>
    <t xml:space="preserve">Beverages</t>
  </si>
  <si>
    <t xml:space="preserve">case of 24 (16.9oz)</t>
  </si>
  <si>
    <t xml:space="preserve">Storage Capacity (lbs)</t>
  </si>
  <si>
    <t xml:space="preserve">Current Load (lbs)</t>
  </si>
  <si>
    <t xml:space="preserve">Utilization %</t>
  </si>
  <si>
    <t xml:space="preserve">Status</t>
  </si>
  <si>
    <t xml:space="preserve">Network Total</t>
  </si>
  <si>
    <t xml:space="preserve">Location (Total Weight, lbs, by Category)</t>
  </si>
  <si>
    <t xml:space="preserve">Total (lbs)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</si>
</sst>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#,##0"/>
    <numFmt numFmtId="168" formatCode="yyyy\-mm\-dd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0"/>
  </cols>
  <sheetData>
    <row r="1" customFormat="false" ht="15" hidden="false" customHeight="fals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</row>
    <row r="2" customFormat="false" ht="15" hidden="false" customHeight="false" outlineLevel="0" collapsed="false">
      <c r="A2" s="5" t="s">
        <v>52</v>
      </c>
      <c r="B2" s="5" t="s">
        <v>53</v>
      </c>
      <c r="C2" s="5" t="s">
        <v>54</v>
      </c>
      <c r="D2" s="5" t="n">
        <v>92139</v>
      </c>
      <c r="E2" s="5" t="s">
        <v>55</v>
      </c>
      <c r="F2" s="5" t="s">
        <v>56</v>
      </c>
      <c r="G2" s="5" t="s">
        <v>57</v>
      </c>
      <c r="H2" s="5" t="s">
        <v>58</v>
      </c>
      <c r="I2" s="6" t="b">
        <f aca="false">TRUE()</f>
        <v>1</v>
      </c>
      <c r="J2" s="6" t="b">
        <f aca="false">TRUE()</f>
        <v>1</v>
      </c>
      <c r="K2" s="6" t="b">
        <f aca="false">FALSE()</f>
        <v>0</v>
      </c>
      <c r="L2" s="5" t="s">
        <v>59</v>
      </c>
      <c r="M2" s="5" t="s">
        <v>55</v>
      </c>
      <c r="N2" s="5" t="s">
        <v>60</v>
      </c>
      <c r="O2" s="5" t="s">
        <v>61</v>
      </c>
      <c r="P2" s="6" t="b">
        <f aca="false">FALSE()</f>
        <v>0</v>
      </c>
    </row>
    <row r="3" customFormat="false" ht="15" hidden="false" customHeight="false" outlineLevel="0" collapsed="false">
      <c r="A3" s="5" t="s">
        <v>62</v>
      </c>
      <c r="B3" s="5" t="s">
        <v>63</v>
      </c>
      <c r="C3" s="5" t="s">
        <v>64</v>
      </c>
      <c r="D3" s="5" t="n">
        <v>92084</v>
      </c>
      <c r="E3" s="5" t="s">
        <v>65</v>
      </c>
      <c r="F3" s="5" t="s">
        <v>66</v>
      </c>
      <c r="G3" s="5" t="s">
        <v>67</v>
      </c>
      <c r="H3" s="5" t="s">
        <v>58</v>
      </c>
      <c r="I3" s="6" t="b">
        <f aca="false">FALSE()</f>
        <v>0</v>
      </c>
      <c r="J3" s="6" t="b">
        <f aca="false">FALSE()</f>
        <v>0</v>
      </c>
      <c r="K3" s="6" t="b">
        <f aca="false">FALSE()</f>
        <v>0</v>
      </c>
      <c r="L3" s="5" t="s">
        <v>59</v>
      </c>
      <c r="M3" s="5" t="s">
        <v>65</v>
      </c>
      <c r="N3" s="5" t="s">
        <v>68</v>
      </c>
      <c r="O3" s="5" t="s">
        <v>69</v>
      </c>
      <c r="P3" s="6" t="b">
        <f aca="false">TRUE()</f>
        <v>1</v>
      </c>
    </row>
    <row r="4" customFormat="false" ht="15" hidden="false" customHeight="false" outlineLevel="0" collapsed="false">
      <c r="A4" s="5" t="s">
        <v>70</v>
      </c>
      <c r="B4" s="5" t="s">
        <v>71</v>
      </c>
      <c r="C4" s="5" t="s">
        <v>72</v>
      </c>
      <c r="D4" s="5" t="n">
        <v>92027</v>
      </c>
      <c r="E4" s="5" t="s">
        <v>65</v>
      </c>
      <c r="F4" s="5" t="s">
        <v>56</v>
      </c>
      <c r="G4" s="5" t="s">
        <v>57</v>
      </c>
      <c r="H4" s="5"/>
      <c r="I4" s="6" t="b">
        <f aca="false">FALSE()</f>
        <v>0</v>
      </c>
      <c r="J4" s="6" t="b">
        <f aca="false">TRUE()</f>
        <v>1</v>
      </c>
      <c r="K4" s="6" t="b">
        <f aca="false">TRUE()</f>
        <v>1</v>
      </c>
      <c r="L4" s="5" t="s">
        <v>59</v>
      </c>
      <c r="M4" s="5" t="s">
        <v>65</v>
      </c>
      <c r="N4" s="5" t="s">
        <v>73</v>
      </c>
      <c r="O4" s="5" t="s">
        <v>74</v>
      </c>
      <c r="P4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5" min="14" style="0" width="14"/>
    <col collapsed="false" customWidth="true" hidden="false" outlineLevel="0" max="16" min="16" style="0" width="16"/>
  </cols>
  <sheetData>
    <row r="1" customFormat="false" ht="15" hidden="false" customHeight="false" outlineLevel="0" collapsed="false">
      <c r="A1" s="4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84</v>
      </c>
      <c r="K1" s="4" t="s">
        <v>85</v>
      </c>
      <c r="L1" s="4" t="s">
        <v>86</v>
      </c>
      <c r="M1" s="4" t="s">
        <v>87</v>
      </c>
      <c r="N1" s="4" t="s">
        <v>88</v>
      </c>
      <c r="O1" s="4" t="s">
        <v>89</v>
      </c>
      <c r="P1" s="4" t="s">
        <v>90</v>
      </c>
    </row>
    <row r="2" customFormat="false" ht="15" hidden="false" customHeight="false" outlineLevel="0" collapsed="false">
      <c r="A2" s="5" t="n">
        <v>1</v>
      </c>
      <c r="B2" s="5" t="s">
        <v>91</v>
      </c>
      <c r="C2" s="5" t="s">
        <v>92</v>
      </c>
      <c r="D2" s="5" t="s">
        <v>93</v>
      </c>
      <c r="E2" s="5" t="s">
        <v>94</v>
      </c>
      <c r="F2" s="7" t="n">
        <v>25</v>
      </c>
      <c r="G2" s="8" t="n">
        <v>308</v>
      </c>
      <c r="H2" s="9" t="n">
        <f aca="false">F2*G2</f>
        <v>7700</v>
      </c>
      <c r="I2" s="5" t="s">
        <v>95</v>
      </c>
      <c r="J2" s="5" t="s">
        <v>96</v>
      </c>
      <c r="K2" s="5" t="s">
        <v>54</v>
      </c>
      <c r="L2" s="5" t="s">
        <v>97</v>
      </c>
      <c r="M2" s="5" t="s">
        <v>98</v>
      </c>
      <c r="N2" s="10" t="n">
        <v>46219</v>
      </c>
      <c r="O2" s="10" t="n">
        <v>46581</v>
      </c>
      <c r="P2" s="9" t="n">
        <f aca="true">O2-TODAY()</f>
        <v>326</v>
      </c>
    </row>
    <row r="3" customFormat="false" ht="15" hidden="false" customHeight="false" outlineLevel="0" collapsed="false">
      <c r="A3" s="5" t="n">
        <v>2</v>
      </c>
      <c r="B3" s="5" t="s">
        <v>99</v>
      </c>
      <c r="C3" s="5" t="s">
        <v>92</v>
      </c>
      <c r="D3" s="5" t="s">
        <v>93</v>
      </c>
      <c r="E3" s="5" t="s">
        <v>100</v>
      </c>
      <c r="F3" s="7" t="n">
        <v>20</v>
      </c>
      <c r="G3" s="8" t="n">
        <v>283</v>
      </c>
      <c r="H3" s="9" t="n">
        <f aca="false">F3*G3</f>
        <v>5660</v>
      </c>
      <c r="I3" s="5" t="s">
        <v>95</v>
      </c>
      <c r="J3" s="5" t="s">
        <v>96</v>
      </c>
      <c r="K3" s="5" t="s">
        <v>54</v>
      </c>
      <c r="L3" s="5" t="s">
        <v>97</v>
      </c>
      <c r="M3" s="5" t="s">
        <v>98</v>
      </c>
      <c r="N3" s="10" t="n">
        <v>46250</v>
      </c>
      <c r="O3" s="10" t="n">
        <v>46574</v>
      </c>
      <c r="P3" s="9" t="n">
        <f aca="true">O3-TODAY()</f>
        <v>319</v>
      </c>
    </row>
    <row r="4" customFormat="false" ht="15" hidden="false" customHeight="false" outlineLevel="0" collapsed="false">
      <c r="A4" s="5" t="n">
        <v>3</v>
      </c>
      <c r="B4" s="5" t="s">
        <v>101</v>
      </c>
      <c r="C4" s="5" t="s">
        <v>92</v>
      </c>
      <c r="D4" s="5" t="s">
        <v>93</v>
      </c>
      <c r="E4" s="5" t="s">
        <v>100</v>
      </c>
      <c r="F4" s="7" t="n">
        <v>20</v>
      </c>
      <c r="G4" s="8" t="n">
        <v>576</v>
      </c>
      <c r="H4" s="9" t="n">
        <f aca="false">F4*G4</f>
        <v>11520</v>
      </c>
      <c r="I4" s="5" t="s">
        <v>95</v>
      </c>
      <c r="J4" s="5" t="s">
        <v>96</v>
      </c>
      <c r="K4" s="5" t="s">
        <v>54</v>
      </c>
      <c r="L4" s="5" t="s">
        <v>97</v>
      </c>
      <c r="M4" s="5" t="s">
        <v>98</v>
      </c>
      <c r="N4" s="10" t="n">
        <v>46251</v>
      </c>
      <c r="O4" s="10" t="n">
        <v>46589</v>
      </c>
      <c r="P4" s="9" t="n">
        <f aca="true">O4-TODAY()</f>
        <v>334</v>
      </c>
    </row>
    <row r="5" customFormat="false" ht="15" hidden="false" customHeight="false" outlineLevel="0" collapsed="false">
      <c r="A5" s="5" t="n">
        <v>4</v>
      </c>
      <c r="B5" s="5" t="s">
        <v>102</v>
      </c>
      <c r="C5" s="5" t="s">
        <v>92</v>
      </c>
      <c r="D5" s="5" t="s">
        <v>93</v>
      </c>
      <c r="E5" s="5" t="s">
        <v>100</v>
      </c>
      <c r="F5" s="7" t="n">
        <v>20</v>
      </c>
      <c r="G5" s="8" t="n">
        <v>238</v>
      </c>
      <c r="H5" s="9" t="n">
        <f aca="false">F5*G5</f>
        <v>4760</v>
      </c>
      <c r="I5" s="5" t="s">
        <v>95</v>
      </c>
      <c r="J5" s="5" t="s">
        <v>96</v>
      </c>
      <c r="K5" s="5" t="s">
        <v>54</v>
      </c>
      <c r="L5" s="5" t="s">
        <v>97</v>
      </c>
      <c r="M5" s="5" t="s">
        <v>98</v>
      </c>
      <c r="N5" s="10" t="n">
        <v>46241</v>
      </c>
      <c r="O5" s="10" t="n">
        <v>46548</v>
      </c>
      <c r="P5" s="9" t="n">
        <f aca="true">O5-TODAY()</f>
        <v>293</v>
      </c>
    </row>
    <row r="6" customFormat="false" ht="15" hidden="false" customHeight="false" outlineLevel="0" collapsed="false">
      <c r="A6" s="5" t="n">
        <v>5</v>
      </c>
      <c r="B6" s="5" t="s">
        <v>103</v>
      </c>
      <c r="C6" s="5" t="s">
        <v>92</v>
      </c>
      <c r="D6" s="5" t="s">
        <v>93</v>
      </c>
      <c r="E6" s="5" t="s">
        <v>104</v>
      </c>
      <c r="F6" s="7" t="n">
        <v>10</v>
      </c>
      <c r="G6" s="8" t="n">
        <v>1018</v>
      </c>
      <c r="H6" s="9" t="n">
        <f aca="false">F6*G6</f>
        <v>10180</v>
      </c>
      <c r="I6" s="5" t="s">
        <v>95</v>
      </c>
      <c r="J6" s="5" t="s">
        <v>96</v>
      </c>
      <c r="K6" s="5" t="s">
        <v>54</v>
      </c>
      <c r="L6" s="5" t="s">
        <v>97</v>
      </c>
      <c r="M6" s="5" t="s">
        <v>98</v>
      </c>
      <c r="N6" s="10" t="n">
        <v>46211</v>
      </c>
      <c r="O6" s="10" t="n">
        <v>46527</v>
      </c>
      <c r="P6" s="9" t="n">
        <f aca="true">O6-TODAY()</f>
        <v>272</v>
      </c>
    </row>
    <row r="7" customFormat="false" ht="15" hidden="false" customHeight="false" outlineLevel="0" collapsed="false">
      <c r="A7" s="5" t="n">
        <v>6</v>
      </c>
      <c r="B7" s="5" t="s">
        <v>105</v>
      </c>
      <c r="C7" s="5" t="s">
        <v>92</v>
      </c>
      <c r="D7" s="5" t="s">
        <v>93</v>
      </c>
      <c r="E7" s="5" t="s">
        <v>106</v>
      </c>
      <c r="F7" s="7" t="n">
        <v>24</v>
      </c>
      <c r="G7" s="8" t="n">
        <v>341</v>
      </c>
      <c r="H7" s="9" t="n">
        <f aca="false">F7*G7</f>
        <v>8184</v>
      </c>
      <c r="I7" s="5" t="s">
        <v>95</v>
      </c>
      <c r="J7" s="5" t="s">
        <v>96</v>
      </c>
      <c r="K7" s="5" t="s">
        <v>54</v>
      </c>
      <c r="L7" s="5" t="s">
        <v>97</v>
      </c>
      <c r="M7" s="5" t="s">
        <v>98</v>
      </c>
      <c r="N7" s="10" t="n">
        <v>46227</v>
      </c>
      <c r="O7" s="10" t="n">
        <v>46605</v>
      </c>
      <c r="P7" s="9" t="n">
        <f aca="true">O7-TODAY()</f>
        <v>350</v>
      </c>
    </row>
    <row r="8" customFormat="false" ht="15" hidden="false" customHeight="false" outlineLevel="0" collapsed="false">
      <c r="A8" s="5" t="n">
        <v>7</v>
      </c>
      <c r="B8" s="5" t="s">
        <v>107</v>
      </c>
      <c r="C8" s="5" t="s">
        <v>92</v>
      </c>
      <c r="D8" s="5" t="s">
        <v>93</v>
      </c>
      <c r="E8" s="5" t="s">
        <v>106</v>
      </c>
      <c r="F8" s="7" t="n">
        <v>24</v>
      </c>
      <c r="G8" s="8" t="n">
        <v>191</v>
      </c>
      <c r="H8" s="9" t="n">
        <f aca="false">F8*G8</f>
        <v>4584</v>
      </c>
      <c r="I8" s="5" t="s">
        <v>95</v>
      </c>
      <c r="J8" s="5" t="s">
        <v>96</v>
      </c>
      <c r="K8" s="5" t="s">
        <v>54</v>
      </c>
      <c r="L8" s="5" t="s">
        <v>97</v>
      </c>
      <c r="M8" s="5" t="s">
        <v>98</v>
      </c>
      <c r="N8" s="10" t="n">
        <v>46234</v>
      </c>
      <c r="O8" s="10" t="n">
        <v>46533</v>
      </c>
      <c r="P8" s="9" t="n">
        <f aca="true">O8-TODAY()</f>
        <v>278</v>
      </c>
    </row>
    <row r="9" customFormat="false" ht="15" hidden="false" customHeight="false" outlineLevel="0" collapsed="false">
      <c r="A9" s="5" t="n">
        <v>8</v>
      </c>
      <c r="B9" s="5" t="s">
        <v>108</v>
      </c>
      <c r="C9" s="5" t="s">
        <v>92</v>
      </c>
      <c r="D9" s="5" t="s">
        <v>93</v>
      </c>
      <c r="E9" s="5" t="s">
        <v>94</v>
      </c>
      <c r="F9" s="7" t="n">
        <v>25</v>
      </c>
      <c r="G9" s="8" t="n">
        <v>394</v>
      </c>
      <c r="H9" s="9" t="n">
        <f aca="false">F9*G9</f>
        <v>9850</v>
      </c>
      <c r="I9" s="5" t="s">
        <v>95</v>
      </c>
      <c r="J9" s="5" t="s">
        <v>96</v>
      </c>
      <c r="K9" s="5" t="s">
        <v>54</v>
      </c>
      <c r="L9" s="5" t="s">
        <v>97</v>
      </c>
      <c r="M9" s="5" t="s">
        <v>98</v>
      </c>
      <c r="N9" s="10" t="n">
        <v>46217</v>
      </c>
      <c r="O9" s="10" t="n">
        <v>46633</v>
      </c>
      <c r="P9" s="9" t="n">
        <f aca="true">O9-TODAY()</f>
        <v>378</v>
      </c>
    </row>
    <row r="10" customFormat="false" ht="15" hidden="false" customHeight="false" outlineLevel="0" collapsed="false">
      <c r="A10" s="5" t="n">
        <v>9</v>
      </c>
      <c r="B10" s="5" t="s">
        <v>109</v>
      </c>
      <c r="C10" s="5" t="s">
        <v>92</v>
      </c>
      <c r="D10" s="5" t="s">
        <v>93</v>
      </c>
      <c r="E10" s="5" t="s">
        <v>104</v>
      </c>
      <c r="F10" s="7" t="n">
        <v>10</v>
      </c>
      <c r="G10" s="8" t="n">
        <v>434</v>
      </c>
      <c r="H10" s="9" t="n">
        <f aca="false">F10*G10</f>
        <v>4340</v>
      </c>
      <c r="I10" s="5" t="s">
        <v>95</v>
      </c>
      <c r="J10" s="5" t="s">
        <v>96</v>
      </c>
      <c r="K10" s="5" t="s">
        <v>54</v>
      </c>
      <c r="L10" s="5" t="s">
        <v>97</v>
      </c>
      <c r="M10" s="5" t="s">
        <v>98</v>
      </c>
      <c r="N10" s="10" t="n">
        <v>46225</v>
      </c>
      <c r="O10" s="10" t="n">
        <v>46497</v>
      </c>
      <c r="P10" s="9" t="n">
        <f aca="true">O10-TODAY()</f>
        <v>242</v>
      </c>
    </row>
    <row r="11" customFormat="false" ht="15" hidden="false" customHeight="false" outlineLevel="0" collapsed="false">
      <c r="A11" s="5" t="n">
        <v>10</v>
      </c>
      <c r="B11" s="5" t="s">
        <v>110</v>
      </c>
      <c r="C11" s="5" t="s">
        <v>111</v>
      </c>
      <c r="D11" s="5" t="s">
        <v>93</v>
      </c>
      <c r="E11" s="5" t="s">
        <v>112</v>
      </c>
      <c r="F11" s="7" t="n">
        <v>11.3</v>
      </c>
      <c r="G11" s="8" t="n">
        <v>795</v>
      </c>
      <c r="H11" s="9" t="n">
        <f aca="false">F11*G11</f>
        <v>8983.5</v>
      </c>
      <c r="I11" s="5" t="s">
        <v>95</v>
      </c>
      <c r="J11" s="5" t="s">
        <v>96</v>
      </c>
      <c r="K11" s="5" t="s">
        <v>54</v>
      </c>
      <c r="L11" s="5" t="s">
        <v>97</v>
      </c>
      <c r="M11" s="5" t="s">
        <v>98</v>
      </c>
      <c r="N11" s="10" t="n">
        <v>46235</v>
      </c>
      <c r="O11" s="10" t="n">
        <v>46478</v>
      </c>
      <c r="P11" s="9" t="n">
        <f aca="true">O11-TODAY()</f>
        <v>223</v>
      </c>
    </row>
    <row r="12" customFormat="false" ht="15" hidden="false" customHeight="false" outlineLevel="0" collapsed="false">
      <c r="A12" s="5" t="n">
        <v>11</v>
      </c>
      <c r="B12" s="5" t="s">
        <v>113</v>
      </c>
      <c r="C12" s="5" t="s">
        <v>111</v>
      </c>
      <c r="D12" s="5" t="s">
        <v>93</v>
      </c>
      <c r="E12" s="5" t="s">
        <v>112</v>
      </c>
      <c r="F12" s="7" t="n">
        <v>11.3</v>
      </c>
      <c r="G12" s="8" t="n">
        <v>418</v>
      </c>
      <c r="H12" s="9" t="n">
        <f aca="false">F12*G12</f>
        <v>4723.4</v>
      </c>
      <c r="I12" s="5" t="s">
        <v>95</v>
      </c>
      <c r="J12" s="5" t="s">
        <v>96</v>
      </c>
      <c r="K12" s="5" t="s">
        <v>54</v>
      </c>
      <c r="L12" s="5" t="s">
        <v>97</v>
      </c>
      <c r="M12" s="5" t="s">
        <v>98</v>
      </c>
      <c r="N12" s="10" t="n">
        <v>46204</v>
      </c>
      <c r="O12" s="10" t="n">
        <v>46430</v>
      </c>
      <c r="P12" s="9" t="n">
        <f aca="true">O12-TODAY()</f>
        <v>175</v>
      </c>
    </row>
    <row r="13" customFormat="false" ht="15" hidden="false" customHeight="false" outlineLevel="0" collapsed="false">
      <c r="A13" s="5" t="n">
        <v>12</v>
      </c>
      <c r="B13" s="5" t="s">
        <v>114</v>
      </c>
      <c r="C13" s="5" t="s">
        <v>111</v>
      </c>
      <c r="D13" s="5" t="s">
        <v>93</v>
      </c>
      <c r="E13" s="5" t="s">
        <v>115</v>
      </c>
      <c r="F13" s="7" t="n">
        <v>10.9</v>
      </c>
      <c r="G13" s="8" t="n">
        <v>456</v>
      </c>
      <c r="H13" s="9" t="n">
        <f aca="false">F13*G13</f>
        <v>4970.4</v>
      </c>
      <c r="I13" s="5" t="s">
        <v>95</v>
      </c>
      <c r="J13" s="5" t="s">
        <v>96</v>
      </c>
      <c r="K13" s="5" t="s">
        <v>54</v>
      </c>
      <c r="L13" s="5" t="s">
        <v>97</v>
      </c>
      <c r="M13" s="5" t="s">
        <v>98</v>
      </c>
      <c r="N13" s="10" t="n">
        <v>46210</v>
      </c>
      <c r="O13" s="10" t="n">
        <v>46589</v>
      </c>
      <c r="P13" s="9" t="n">
        <f aca="true">O13-TODAY()</f>
        <v>334</v>
      </c>
    </row>
    <row r="14" customFormat="false" ht="15" hidden="false" customHeight="false" outlineLevel="0" collapsed="false">
      <c r="A14" s="5" t="n">
        <v>13</v>
      </c>
      <c r="B14" s="5" t="s">
        <v>116</v>
      </c>
      <c r="C14" s="5" t="s">
        <v>111</v>
      </c>
      <c r="D14" s="5" t="s">
        <v>93</v>
      </c>
      <c r="E14" s="5" t="s">
        <v>117</v>
      </c>
      <c r="F14" s="7" t="n">
        <v>7.5</v>
      </c>
      <c r="G14" s="8" t="n">
        <v>1183</v>
      </c>
      <c r="H14" s="9" t="n">
        <f aca="false">F14*G14</f>
        <v>8872.5</v>
      </c>
      <c r="I14" s="5" t="s">
        <v>95</v>
      </c>
      <c r="J14" s="5" t="s">
        <v>96</v>
      </c>
      <c r="K14" s="5" t="s">
        <v>54</v>
      </c>
      <c r="L14" s="5" t="s">
        <v>97</v>
      </c>
      <c r="M14" s="5" t="s">
        <v>98</v>
      </c>
      <c r="N14" s="10" t="n">
        <v>46239</v>
      </c>
      <c r="O14" s="10" t="n">
        <v>46439</v>
      </c>
      <c r="P14" s="9" t="n">
        <f aca="true">O14-TODAY()</f>
        <v>184</v>
      </c>
    </row>
    <row r="15" customFormat="false" ht="15" hidden="false" customHeight="false" outlineLevel="0" collapsed="false">
      <c r="A15" s="5" t="n">
        <v>14</v>
      </c>
      <c r="B15" s="5" t="s">
        <v>118</v>
      </c>
      <c r="C15" s="5" t="s">
        <v>111</v>
      </c>
      <c r="D15" s="5" t="s">
        <v>93</v>
      </c>
      <c r="E15" s="5" t="s">
        <v>119</v>
      </c>
      <c r="F15" s="7" t="n">
        <v>9.4</v>
      </c>
      <c r="G15" s="8" t="n">
        <v>1445</v>
      </c>
      <c r="H15" s="9" t="n">
        <f aca="false">F15*G15</f>
        <v>13583</v>
      </c>
      <c r="I15" s="5" t="s">
        <v>95</v>
      </c>
      <c r="J15" s="5" t="s">
        <v>96</v>
      </c>
      <c r="K15" s="5" t="s">
        <v>54</v>
      </c>
      <c r="L15" s="5" t="s">
        <v>97</v>
      </c>
      <c r="M15" s="5" t="s">
        <v>98</v>
      </c>
      <c r="N15" s="10" t="n">
        <v>46218</v>
      </c>
      <c r="O15" s="10" t="n">
        <v>46474</v>
      </c>
      <c r="P15" s="9" t="n">
        <f aca="true">O15-TODAY()</f>
        <v>219</v>
      </c>
    </row>
    <row r="16" customFormat="false" ht="15" hidden="false" customHeight="false" outlineLevel="0" collapsed="false">
      <c r="A16" s="5" t="n">
        <v>15</v>
      </c>
      <c r="B16" s="5" t="s">
        <v>120</v>
      </c>
      <c r="C16" s="5" t="s">
        <v>111</v>
      </c>
      <c r="D16" s="5" t="s">
        <v>93</v>
      </c>
      <c r="E16" s="5" t="s">
        <v>112</v>
      </c>
      <c r="F16" s="7" t="n">
        <v>11.3</v>
      </c>
      <c r="G16" s="8" t="n">
        <v>474</v>
      </c>
      <c r="H16" s="9" t="n">
        <f aca="false">F16*G16</f>
        <v>5356.2</v>
      </c>
      <c r="I16" s="5" t="s">
        <v>95</v>
      </c>
      <c r="J16" s="5" t="s">
        <v>96</v>
      </c>
      <c r="K16" s="5" t="s">
        <v>54</v>
      </c>
      <c r="L16" s="5" t="s">
        <v>97</v>
      </c>
      <c r="M16" s="5" t="s">
        <v>98</v>
      </c>
      <c r="N16" s="10" t="n">
        <v>46221</v>
      </c>
      <c r="O16" s="10" t="n">
        <v>46527</v>
      </c>
      <c r="P16" s="9" t="n">
        <f aca="true">O16-TODAY()</f>
        <v>272</v>
      </c>
    </row>
    <row r="17" customFormat="false" ht="15" hidden="false" customHeight="false" outlineLevel="0" collapsed="false">
      <c r="A17" s="5" t="n">
        <v>16</v>
      </c>
      <c r="B17" s="5" t="s">
        <v>121</v>
      </c>
      <c r="C17" s="5" t="s">
        <v>111</v>
      </c>
      <c r="D17" s="5" t="s">
        <v>93</v>
      </c>
      <c r="E17" s="5" t="s">
        <v>112</v>
      </c>
      <c r="F17" s="7" t="n">
        <v>11.3</v>
      </c>
      <c r="G17" s="8" t="n">
        <v>577</v>
      </c>
      <c r="H17" s="9" t="n">
        <f aca="false">F17*G17</f>
        <v>6520.1</v>
      </c>
      <c r="I17" s="5" t="s">
        <v>95</v>
      </c>
      <c r="J17" s="5" t="s">
        <v>96</v>
      </c>
      <c r="K17" s="5" t="s">
        <v>54</v>
      </c>
      <c r="L17" s="5" t="s">
        <v>97</v>
      </c>
      <c r="M17" s="5" t="s">
        <v>98</v>
      </c>
      <c r="N17" s="10" t="n">
        <v>46198</v>
      </c>
      <c r="O17" s="10" t="n">
        <v>46465</v>
      </c>
      <c r="P17" s="9" t="n">
        <f aca="true">O17-TODAY()</f>
        <v>210</v>
      </c>
    </row>
    <row r="18" customFormat="false" ht="15" hidden="false" customHeight="false" outlineLevel="0" collapsed="false">
      <c r="A18" s="5" t="n">
        <v>17</v>
      </c>
      <c r="B18" s="5" t="s">
        <v>122</v>
      </c>
      <c r="C18" s="5" t="s">
        <v>92</v>
      </c>
      <c r="D18" s="5" t="s">
        <v>93</v>
      </c>
      <c r="E18" s="5" t="s">
        <v>123</v>
      </c>
      <c r="F18" s="7" t="n">
        <v>13.5</v>
      </c>
      <c r="G18" s="8" t="n">
        <v>833</v>
      </c>
      <c r="H18" s="9" t="n">
        <f aca="false">F18*G18</f>
        <v>11245.5</v>
      </c>
      <c r="I18" s="5" t="s">
        <v>95</v>
      </c>
      <c r="J18" s="5" t="s">
        <v>96</v>
      </c>
      <c r="K18" s="5" t="s">
        <v>54</v>
      </c>
      <c r="L18" s="5" t="s">
        <v>97</v>
      </c>
      <c r="M18" s="5" t="s">
        <v>98</v>
      </c>
      <c r="N18" s="10" t="n">
        <v>46208</v>
      </c>
      <c r="O18" s="10" t="n">
        <v>46502</v>
      </c>
      <c r="P18" s="9" t="n">
        <f aca="true">O18-TODAY()</f>
        <v>247</v>
      </c>
    </row>
    <row r="19" customFormat="false" ht="15" hidden="false" customHeight="false" outlineLevel="0" collapsed="false">
      <c r="A19" s="5" t="n">
        <v>18</v>
      </c>
      <c r="B19" s="5" t="s">
        <v>124</v>
      </c>
      <c r="C19" s="5" t="s">
        <v>92</v>
      </c>
      <c r="D19" s="5" t="s">
        <v>93</v>
      </c>
      <c r="E19" s="5" t="s">
        <v>125</v>
      </c>
      <c r="F19" s="7" t="n">
        <v>18</v>
      </c>
      <c r="G19" s="8" t="n">
        <v>833</v>
      </c>
      <c r="H19" s="9" t="n">
        <f aca="false">F19*G19</f>
        <v>14994</v>
      </c>
      <c r="I19" s="5" t="s">
        <v>95</v>
      </c>
      <c r="J19" s="5" t="s">
        <v>96</v>
      </c>
      <c r="K19" s="5" t="s">
        <v>54</v>
      </c>
      <c r="L19" s="5" t="s">
        <v>97</v>
      </c>
      <c r="M19" s="5" t="s">
        <v>98</v>
      </c>
      <c r="N19" s="10" t="n">
        <v>46236</v>
      </c>
      <c r="O19" s="10" t="n">
        <v>46571</v>
      </c>
      <c r="P19" s="9" t="n">
        <f aca="true">O19-TODAY()</f>
        <v>316</v>
      </c>
    </row>
    <row r="20" customFormat="false" ht="15" hidden="false" customHeight="false" outlineLevel="0" collapsed="false">
      <c r="A20" s="5" t="n">
        <v>19</v>
      </c>
      <c r="B20" s="5" t="s">
        <v>126</v>
      </c>
      <c r="C20" s="5" t="s">
        <v>92</v>
      </c>
      <c r="D20" s="5" t="s">
        <v>93</v>
      </c>
      <c r="E20" s="5" t="s">
        <v>127</v>
      </c>
      <c r="F20" s="7" t="n">
        <v>10.8</v>
      </c>
      <c r="G20" s="8" t="n">
        <v>987</v>
      </c>
      <c r="H20" s="9" t="n">
        <f aca="false">F20*G20</f>
        <v>10659.6</v>
      </c>
      <c r="I20" s="5" t="s">
        <v>95</v>
      </c>
      <c r="J20" s="5" t="s">
        <v>96</v>
      </c>
      <c r="K20" s="5" t="s">
        <v>54</v>
      </c>
      <c r="L20" s="5" t="s">
        <v>97</v>
      </c>
      <c r="M20" s="5" t="s">
        <v>98</v>
      </c>
      <c r="N20" s="10" t="n">
        <v>46250</v>
      </c>
      <c r="O20" s="10" t="n">
        <v>46460</v>
      </c>
      <c r="P20" s="9" t="n">
        <f aca="true">O20-TODAY()</f>
        <v>205</v>
      </c>
    </row>
    <row r="21" customFormat="false" ht="15" hidden="false" customHeight="false" outlineLevel="0" collapsed="false">
      <c r="A21" s="5" t="n">
        <v>20</v>
      </c>
      <c r="B21" s="5" t="s">
        <v>128</v>
      </c>
      <c r="C21" s="5" t="s">
        <v>92</v>
      </c>
      <c r="D21" s="5" t="s">
        <v>93</v>
      </c>
      <c r="E21" s="5" t="s">
        <v>129</v>
      </c>
      <c r="F21" s="7" t="n">
        <v>17.3</v>
      </c>
      <c r="G21" s="8" t="n">
        <v>494</v>
      </c>
      <c r="H21" s="9" t="n">
        <f aca="false">F21*G21</f>
        <v>8546.2</v>
      </c>
      <c r="I21" s="5" t="s">
        <v>95</v>
      </c>
      <c r="J21" s="5" t="s">
        <v>96</v>
      </c>
      <c r="K21" s="5" t="s">
        <v>54</v>
      </c>
      <c r="L21" s="5" t="s">
        <v>97</v>
      </c>
      <c r="M21" s="5" t="s">
        <v>98</v>
      </c>
      <c r="N21" s="10" t="n">
        <v>46222</v>
      </c>
      <c r="O21" s="10" t="n">
        <v>46509</v>
      </c>
      <c r="P21" s="9" t="n">
        <f aca="true">O21-TODAY()</f>
        <v>254</v>
      </c>
    </row>
    <row r="22" customFormat="false" ht="15" hidden="false" customHeight="false" outlineLevel="0" collapsed="false">
      <c r="A22" s="5" t="n">
        <v>21</v>
      </c>
      <c r="B22" s="5" t="s">
        <v>130</v>
      </c>
      <c r="C22" s="5" t="s">
        <v>131</v>
      </c>
      <c r="D22" s="5" t="s">
        <v>132</v>
      </c>
      <c r="E22" s="5" t="s">
        <v>94</v>
      </c>
      <c r="F22" s="7" t="n">
        <v>25</v>
      </c>
      <c r="G22" s="8" t="n">
        <v>613</v>
      </c>
      <c r="H22" s="9" t="n">
        <f aca="false">F22*G22</f>
        <v>15325</v>
      </c>
      <c r="I22" s="5" t="s">
        <v>95</v>
      </c>
      <c r="J22" s="5" t="s">
        <v>96</v>
      </c>
      <c r="K22" s="5" t="s">
        <v>54</v>
      </c>
      <c r="L22" s="5" t="s">
        <v>97</v>
      </c>
      <c r="M22" s="5" t="s">
        <v>98</v>
      </c>
      <c r="N22" s="10" t="n">
        <v>46244</v>
      </c>
      <c r="O22" s="10" t="n">
        <v>46256</v>
      </c>
      <c r="P22" s="9" t="n">
        <f aca="true">O22-TODAY()</f>
        <v>1</v>
      </c>
    </row>
    <row r="23" customFormat="false" ht="15" hidden="false" customHeight="false" outlineLevel="0" collapsed="false">
      <c r="A23" s="5" t="n">
        <v>22</v>
      </c>
      <c r="B23" s="5" t="s">
        <v>133</v>
      </c>
      <c r="C23" s="5" t="s">
        <v>131</v>
      </c>
      <c r="D23" s="5" t="s">
        <v>132</v>
      </c>
      <c r="E23" s="5" t="s">
        <v>134</v>
      </c>
      <c r="F23" s="7" t="n">
        <v>30</v>
      </c>
      <c r="G23" s="8" t="n">
        <v>148</v>
      </c>
      <c r="H23" s="9" t="n">
        <f aca="false">F23*G23</f>
        <v>4440</v>
      </c>
      <c r="I23" s="5" t="s">
        <v>95</v>
      </c>
      <c r="J23" s="5" t="s">
        <v>96</v>
      </c>
      <c r="K23" s="5" t="s">
        <v>54</v>
      </c>
      <c r="L23" s="5" t="s">
        <v>97</v>
      </c>
      <c r="M23" s="5" t="s">
        <v>98</v>
      </c>
      <c r="N23" s="10" t="n">
        <v>46245</v>
      </c>
      <c r="O23" s="10" t="n">
        <v>46259</v>
      </c>
      <c r="P23" s="9" t="n">
        <f aca="true">O23-TODAY()</f>
        <v>4</v>
      </c>
    </row>
    <row r="24" customFormat="false" ht="15" hidden="false" customHeight="false" outlineLevel="0" collapsed="false">
      <c r="A24" s="5" t="n">
        <v>23</v>
      </c>
      <c r="B24" s="5" t="s">
        <v>135</v>
      </c>
      <c r="C24" s="5" t="s">
        <v>131</v>
      </c>
      <c r="D24" s="5" t="s">
        <v>132</v>
      </c>
      <c r="E24" s="5" t="s">
        <v>94</v>
      </c>
      <c r="F24" s="7" t="n">
        <v>25</v>
      </c>
      <c r="G24" s="8" t="n">
        <v>558</v>
      </c>
      <c r="H24" s="9" t="n">
        <f aca="false">F24*G24</f>
        <v>13950</v>
      </c>
      <c r="I24" s="5" t="s">
        <v>95</v>
      </c>
      <c r="J24" s="5" t="s">
        <v>96</v>
      </c>
      <c r="K24" s="5" t="s">
        <v>54</v>
      </c>
      <c r="L24" s="5" t="s">
        <v>97</v>
      </c>
      <c r="M24" s="5" t="s">
        <v>98</v>
      </c>
      <c r="N24" s="10" t="n">
        <v>46228</v>
      </c>
      <c r="O24" s="10" t="n">
        <v>46235</v>
      </c>
      <c r="P24" s="9" t="n">
        <f aca="true">O24-TODAY()</f>
        <v>-20</v>
      </c>
    </row>
    <row r="25" customFormat="false" ht="15" hidden="false" customHeight="false" outlineLevel="0" collapsed="false">
      <c r="A25" s="5" t="n">
        <v>24</v>
      </c>
      <c r="B25" s="5" t="s">
        <v>136</v>
      </c>
      <c r="C25" s="5" t="s">
        <v>131</v>
      </c>
      <c r="D25" s="5" t="s">
        <v>132</v>
      </c>
      <c r="E25" s="5" t="s">
        <v>137</v>
      </c>
      <c r="F25" s="7" t="n">
        <v>30</v>
      </c>
      <c r="G25" s="8" t="n">
        <v>243</v>
      </c>
      <c r="H25" s="9" t="n">
        <f aca="false">F25*G25</f>
        <v>7290</v>
      </c>
      <c r="I25" s="5" t="s">
        <v>95</v>
      </c>
      <c r="J25" s="5" t="s">
        <v>96</v>
      </c>
      <c r="K25" s="5" t="s">
        <v>54</v>
      </c>
      <c r="L25" s="5" t="s">
        <v>97</v>
      </c>
      <c r="M25" s="5" t="s">
        <v>98</v>
      </c>
      <c r="N25" s="10" t="n">
        <v>46212</v>
      </c>
      <c r="O25" s="10" t="n">
        <v>46220</v>
      </c>
      <c r="P25" s="9" t="n">
        <f aca="true">O25-TODAY()</f>
        <v>-35</v>
      </c>
    </row>
    <row r="26" customFormat="false" ht="15" hidden="false" customHeight="false" outlineLevel="0" collapsed="false">
      <c r="A26" s="5" t="n">
        <v>25</v>
      </c>
      <c r="B26" s="5" t="s">
        <v>138</v>
      </c>
      <c r="C26" s="5" t="s">
        <v>131</v>
      </c>
      <c r="D26" s="5" t="s">
        <v>132</v>
      </c>
      <c r="E26" s="5" t="s">
        <v>137</v>
      </c>
      <c r="F26" s="7" t="n">
        <v>30</v>
      </c>
      <c r="G26" s="8" t="n">
        <v>186</v>
      </c>
      <c r="H26" s="9" t="n">
        <f aca="false">F26*G26</f>
        <v>5580</v>
      </c>
      <c r="I26" s="5" t="s">
        <v>95</v>
      </c>
      <c r="J26" s="5" t="s">
        <v>96</v>
      </c>
      <c r="K26" s="5" t="s">
        <v>54</v>
      </c>
      <c r="L26" s="5" t="s">
        <v>97</v>
      </c>
      <c r="M26" s="5" t="s">
        <v>98</v>
      </c>
      <c r="N26" s="10" t="n">
        <v>46206</v>
      </c>
      <c r="O26" s="10" t="n">
        <v>46221</v>
      </c>
      <c r="P26" s="9" t="n">
        <f aca="true">O26-TODAY()</f>
        <v>-34</v>
      </c>
    </row>
    <row r="27" customFormat="false" ht="15" hidden="false" customHeight="false" outlineLevel="0" collapsed="false">
      <c r="A27" s="5" t="n">
        <v>26</v>
      </c>
      <c r="B27" s="5" t="s">
        <v>139</v>
      </c>
      <c r="C27" s="5" t="s">
        <v>131</v>
      </c>
      <c r="D27" s="5" t="s">
        <v>132</v>
      </c>
      <c r="E27" s="5" t="s">
        <v>137</v>
      </c>
      <c r="F27" s="7" t="n">
        <v>30</v>
      </c>
      <c r="G27" s="8" t="n">
        <v>176</v>
      </c>
      <c r="H27" s="9" t="n">
        <f aca="false">F27*G27</f>
        <v>5280</v>
      </c>
      <c r="I27" s="5" t="s">
        <v>95</v>
      </c>
      <c r="J27" s="5" t="s">
        <v>96</v>
      </c>
      <c r="K27" s="5" t="s">
        <v>54</v>
      </c>
      <c r="L27" s="5" t="s">
        <v>97</v>
      </c>
      <c r="M27" s="5" t="s">
        <v>98</v>
      </c>
      <c r="N27" s="10" t="n">
        <v>46218</v>
      </c>
      <c r="O27" s="10" t="n">
        <v>46230</v>
      </c>
      <c r="P27" s="9" t="n">
        <f aca="true">O27-TODAY()</f>
        <v>-25</v>
      </c>
    </row>
    <row r="28" customFormat="false" ht="15" hidden="false" customHeight="false" outlineLevel="0" collapsed="false">
      <c r="A28" s="5" t="n">
        <v>27</v>
      </c>
      <c r="B28" s="5" t="s">
        <v>140</v>
      </c>
      <c r="C28" s="5" t="s">
        <v>131</v>
      </c>
      <c r="D28" s="5" t="s">
        <v>132</v>
      </c>
      <c r="E28" s="5" t="s">
        <v>141</v>
      </c>
      <c r="F28" s="7" t="n">
        <v>27.5</v>
      </c>
      <c r="G28" s="8" t="n">
        <v>273</v>
      </c>
      <c r="H28" s="9" t="n">
        <f aca="false">F28*G28</f>
        <v>7507.5</v>
      </c>
      <c r="I28" s="5" t="s">
        <v>95</v>
      </c>
      <c r="J28" s="5" t="s">
        <v>96</v>
      </c>
      <c r="K28" s="5" t="s">
        <v>54</v>
      </c>
      <c r="L28" s="5" t="s">
        <v>97</v>
      </c>
      <c r="M28" s="5" t="s">
        <v>98</v>
      </c>
      <c r="N28" s="10" t="n">
        <v>46233</v>
      </c>
      <c r="O28" s="10" t="n">
        <v>46245</v>
      </c>
      <c r="P28" s="9" t="n">
        <f aca="true">O28-TODAY()</f>
        <v>-10</v>
      </c>
    </row>
    <row r="29" customFormat="false" ht="15" hidden="false" customHeight="false" outlineLevel="0" collapsed="false">
      <c r="A29" s="5" t="n">
        <v>28</v>
      </c>
      <c r="B29" s="5" t="s">
        <v>142</v>
      </c>
      <c r="C29" s="5" t="s">
        <v>131</v>
      </c>
      <c r="D29" s="5" t="s">
        <v>132</v>
      </c>
      <c r="E29" s="5" t="s">
        <v>143</v>
      </c>
      <c r="F29" s="7" t="n">
        <v>4</v>
      </c>
      <c r="G29" s="8" t="n">
        <v>3365</v>
      </c>
      <c r="H29" s="9" t="n">
        <f aca="false">F29*G29</f>
        <v>13460</v>
      </c>
      <c r="I29" s="5" t="s">
        <v>95</v>
      </c>
      <c r="J29" s="5" t="s">
        <v>96</v>
      </c>
      <c r="K29" s="5" t="s">
        <v>54</v>
      </c>
      <c r="L29" s="5" t="s">
        <v>97</v>
      </c>
      <c r="M29" s="5" t="s">
        <v>98</v>
      </c>
      <c r="N29" s="10" t="n">
        <v>46216</v>
      </c>
      <c r="O29" s="10" t="n">
        <v>46230</v>
      </c>
      <c r="P29" s="9" t="n">
        <f aca="true">O29-TODAY()</f>
        <v>-25</v>
      </c>
    </row>
    <row r="30" customFormat="false" ht="15" hidden="false" customHeight="false" outlineLevel="0" collapsed="false">
      <c r="A30" s="5" t="n">
        <v>29</v>
      </c>
      <c r="B30" s="5" t="s">
        <v>144</v>
      </c>
      <c r="C30" s="5" t="s">
        <v>131</v>
      </c>
      <c r="D30" s="5" t="s">
        <v>132</v>
      </c>
      <c r="E30" s="5" t="s">
        <v>145</v>
      </c>
      <c r="F30" s="7" t="n">
        <v>25</v>
      </c>
      <c r="G30" s="8" t="n">
        <v>241</v>
      </c>
      <c r="H30" s="9" t="n">
        <f aca="false">F30*G30</f>
        <v>6025</v>
      </c>
      <c r="I30" s="5" t="s">
        <v>95</v>
      </c>
      <c r="J30" s="5" t="s">
        <v>96</v>
      </c>
      <c r="K30" s="5" t="s">
        <v>54</v>
      </c>
      <c r="L30" s="5" t="s">
        <v>97</v>
      </c>
      <c r="M30" s="5" t="s">
        <v>98</v>
      </c>
      <c r="N30" s="10" t="n">
        <v>46217</v>
      </c>
      <c r="O30" s="10" t="n">
        <v>46231</v>
      </c>
      <c r="P30" s="9" t="n">
        <f aca="true">O30-TODAY()</f>
        <v>-24</v>
      </c>
    </row>
    <row r="31" customFormat="false" ht="15" hidden="false" customHeight="false" outlineLevel="0" collapsed="false">
      <c r="A31" s="5" t="n">
        <v>30</v>
      </c>
      <c r="B31" s="5" t="s">
        <v>146</v>
      </c>
      <c r="C31" s="5" t="s">
        <v>147</v>
      </c>
      <c r="D31" s="5" t="s">
        <v>93</v>
      </c>
      <c r="E31" s="5" t="s">
        <v>148</v>
      </c>
      <c r="F31" s="7" t="n">
        <v>15</v>
      </c>
      <c r="G31" s="8" t="n">
        <v>714</v>
      </c>
      <c r="H31" s="9" t="n">
        <f aca="false">F31*G31</f>
        <v>10710</v>
      </c>
      <c r="I31" s="5" t="s">
        <v>95</v>
      </c>
      <c r="J31" s="5" t="s">
        <v>96</v>
      </c>
      <c r="K31" s="5" t="s">
        <v>54</v>
      </c>
      <c r="L31" s="5" t="s">
        <v>97</v>
      </c>
      <c r="M31" s="5" t="s">
        <v>98</v>
      </c>
      <c r="N31" s="10" t="n">
        <v>46250</v>
      </c>
      <c r="O31" s="10" t="n">
        <v>46645</v>
      </c>
      <c r="P31" s="9" t="n">
        <f aca="true">O31-TODAY()</f>
        <v>390</v>
      </c>
    </row>
    <row r="32" customFormat="false" ht="15" hidden="false" customHeight="false" outlineLevel="0" collapsed="false">
      <c r="A32" s="5" t="n">
        <v>31</v>
      </c>
      <c r="B32" s="5" t="s">
        <v>149</v>
      </c>
      <c r="C32" s="5" t="s">
        <v>147</v>
      </c>
      <c r="D32" s="5" t="s">
        <v>93</v>
      </c>
      <c r="E32" s="5" t="s">
        <v>150</v>
      </c>
      <c r="F32" s="7" t="n">
        <v>8</v>
      </c>
      <c r="G32" s="8" t="n">
        <v>1423</v>
      </c>
      <c r="H32" s="9" t="n">
        <f aca="false">F32*G32</f>
        <v>11384</v>
      </c>
      <c r="I32" s="5" t="s">
        <v>95</v>
      </c>
      <c r="J32" s="5" t="s">
        <v>96</v>
      </c>
      <c r="K32" s="5" t="s">
        <v>54</v>
      </c>
      <c r="L32" s="5" t="s">
        <v>97</v>
      </c>
      <c r="M32" s="5" t="s">
        <v>98</v>
      </c>
      <c r="N32" s="10" t="n">
        <v>46249</v>
      </c>
      <c r="O32" s="10" t="n">
        <v>46498</v>
      </c>
      <c r="P32" s="9" t="n">
        <f aca="true">O32-TODAY()</f>
        <v>243</v>
      </c>
    </row>
    <row r="33" customFormat="false" ht="15" hidden="false" customHeight="false" outlineLevel="0" collapsed="false">
      <c r="A33" s="5" t="n">
        <v>32</v>
      </c>
      <c r="B33" s="5" t="s">
        <v>151</v>
      </c>
      <c r="C33" s="5" t="s">
        <v>152</v>
      </c>
      <c r="D33" s="5" t="s">
        <v>93</v>
      </c>
      <c r="E33" s="5" t="s">
        <v>153</v>
      </c>
      <c r="F33" s="7" t="n">
        <v>25</v>
      </c>
      <c r="G33" s="8" t="n">
        <v>331</v>
      </c>
      <c r="H33" s="9" t="n">
        <f aca="false">F33*G33</f>
        <v>8275</v>
      </c>
      <c r="I33" s="5" t="s">
        <v>95</v>
      </c>
      <c r="J33" s="5" t="s">
        <v>96</v>
      </c>
      <c r="K33" s="5" t="s">
        <v>54</v>
      </c>
      <c r="L33" s="5" t="s">
        <v>97</v>
      </c>
      <c r="M33" s="5" t="s">
        <v>98</v>
      </c>
      <c r="N33" s="10" t="n">
        <v>46224</v>
      </c>
      <c r="O33" s="10" t="n">
        <v>46582</v>
      </c>
      <c r="P33" s="9" t="n">
        <f aca="true">O33-TODAY()</f>
        <v>327</v>
      </c>
    </row>
    <row r="34" customFormat="false" ht="15" hidden="false" customHeight="false" outlineLevel="0" collapsed="false">
      <c r="A34" s="5" t="n">
        <v>33</v>
      </c>
      <c r="B34" s="5" t="s">
        <v>140</v>
      </c>
      <c r="C34" s="5" t="s">
        <v>131</v>
      </c>
      <c r="D34" s="5" t="s">
        <v>132</v>
      </c>
      <c r="E34" s="5" t="s">
        <v>141</v>
      </c>
      <c r="F34" s="7" t="n">
        <v>27.5</v>
      </c>
      <c r="G34" s="8" t="n">
        <v>9</v>
      </c>
      <c r="H34" s="9" t="n">
        <f aca="false">F34*G34</f>
        <v>247.5</v>
      </c>
      <c r="I34" s="5" t="s">
        <v>52</v>
      </c>
      <c r="J34" s="5" t="s">
        <v>53</v>
      </c>
      <c r="K34" s="5" t="s">
        <v>54</v>
      </c>
      <c r="L34" s="5" t="s">
        <v>56</v>
      </c>
      <c r="M34" s="5" t="s">
        <v>57</v>
      </c>
      <c r="N34" s="10" t="n">
        <v>46247</v>
      </c>
      <c r="O34" s="10" t="n">
        <v>46260</v>
      </c>
      <c r="P34" s="9" t="n">
        <f aca="true">O34-TODAY()</f>
        <v>5</v>
      </c>
    </row>
    <row r="35" customFormat="false" ht="15" hidden="false" customHeight="false" outlineLevel="0" collapsed="false">
      <c r="A35" s="5" t="n">
        <v>34</v>
      </c>
      <c r="B35" s="5" t="s">
        <v>130</v>
      </c>
      <c r="C35" s="5" t="s">
        <v>131</v>
      </c>
      <c r="D35" s="5" t="s">
        <v>132</v>
      </c>
      <c r="E35" s="5" t="s">
        <v>94</v>
      </c>
      <c r="F35" s="7" t="n">
        <v>25</v>
      </c>
      <c r="G35" s="8" t="n">
        <v>4</v>
      </c>
      <c r="H35" s="9" t="n">
        <f aca="false">F35*G35</f>
        <v>100</v>
      </c>
      <c r="I35" s="5" t="s">
        <v>52</v>
      </c>
      <c r="J35" s="5" t="s">
        <v>53</v>
      </c>
      <c r="K35" s="5" t="s">
        <v>54</v>
      </c>
      <c r="L35" s="5" t="s">
        <v>56</v>
      </c>
      <c r="M35" s="5" t="s">
        <v>57</v>
      </c>
      <c r="N35" s="10" t="n">
        <v>46251</v>
      </c>
      <c r="O35" s="10" t="n">
        <v>46260</v>
      </c>
      <c r="P35" s="9" t="n">
        <f aca="true">O35-TODAY()</f>
        <v>5</v>
      </c>
    </row>
    <row r="36" customFormat="false" ht="15" hidden="false" customHeight="false" outlineLevel="0" collapsed="false">
      <c r="A36" s="5" t="n">
        <v>35</v>
      </c>
      <c r="B36" s="5" t="s">
        <v>133</v>
      </c>
      <c r="C36" s="5" t="s">
        <v>131</v>
      </c>
      <c r="D36" s="5" t="s">
        <v>132</v>
      </c>
      <c r="E36" s="5" t="s">
        <v>134</v>
      </c>
      <c r="F36" s="7" t="n">
        <v>30</v>
      </c>
      <c r="G36" s="8" t="n">
        <v>8</v>
      </c>
      <c r="H36" s="9" t="n">
        <f aca="false">F36*G36</f>
        <v>240</v>
      </c>
      <c r="I36" s="5" t="s">
        <v>52</v>
      </c>
      <c r="J36" s="5" t="s">
        <v>53</v>
      </c>
      <c r="K36" s="5" t="s">
        <v>54</v>
      </c>
      <c r="L36" s="5" t="s">
        <v>56</v>
      </c>
      <c r="M36" s="5" t="s">
        <v>57</v>
      </c>
      <c r="N36" s="10" t="n">
        <v>46236</v>
      </c>
      <c r="O36" s="10" t="n">
        <v>46244</v>
      </c>
      <c r="P36" s="9" t="n">
        <f aca="true">O36-TODAY()</f>
        <v>-11</v>
      </c>
    </row>
    <row r="37" customFormat="false" ht="15" hidden="false" customHeight="false" outlineLevel="0" collapsed="false">
      <c r="A37" s="5" t="n">
        <v>36</v>
      </c>
      <c r="B37" s="5" t="s">
        <v>135</v>
      </c>
      <c r="C37" s="5" t="s">
        <v>131</v>
      </c>
      <c r="D37" s="5" t="s">
        <v>132</v>
      </c>
      <c r="E37" s="5" t="s">
        <v>94</v>
      </c>
      <c r="F37" s="7" t="n">
        <v>25</v>
      </c>
      <c r="G37" s="8" t="n">
        <v>9</v>
      </c>
      <c r="H37" s="9" t="n">
        <f aca="false">F37*G37</f>
        <v>225</v>
      </c>
      <c r="I37" s="5" t="s">
        <v>52</v>
      </c>
      <c r="J37" s="5" t="s">
        <v>53</v>
      </c>
      <c r="K37" s="5" t="s">
        <v>54</v>
      </c>
      <c r="L37" s="5" t="s">
        <v>56</v>
      </c>
      <c r="M37" s="5" t="s">
        <v>57</v>
      </c>
      <c r="N37" s="10" t="n">
        <v>46239</v>
      </c>
      <c r="O37" s="10" t="n">
        <v>46251</v>
      </c>
      <c r="P37" s="9" t="n">
        <f aca="true">O37-TODAY()</f>
        <v>-4</v>
      </c>
    </row>
    <row r="38" customFormat="false" ht="15" hidden="false" customHeight="false" outlineLevel="0" collapsed="false">
      <c r="A38" s="5" t="n">
        <v>37</v>
      </c>
      <c r="B38" s="5" t="s">
        <v>136</v>
      </c>
      <c r="C38" s="5" t="s">
        <v>131</v>
      </c>
      <c r="D38" s="5" t="s">
        <v>132</v>
      </c>
      <c r="E38" s="5" t="s">
        <v>137</v>
      </c>
      <c r="F38" s="7" t="n">
        <v>30</v>
      </c>
      <c r="G38" s="8" t="n">
        <v>11</v>
      </c>
      <c r="H38" s="9" t="n">
        <f aca="false">F38*G38</f>
        <v>330</v>
      </c>
      <c r="I38" s="5" t="s">
        <v>52</v>
      </c>
      <c r="J38" s="5" t="s">
        <v>53</v>
      </c>
      <c r="K38" s="5" t="s">
        <v>54</v>
      </c>
      <c r="L38" s="5" t="s">
        <v>56</v>
      </c>
      <c r="M38" s="5" t="s">
        <v>57</v>
      </c>
      <c r="N38" s="10" t="n">
        <v>46229</v>
      </c>
      <c r="O38" s="10" t="n">
        <v>46242</v>
      </c>
      <c r="P38" s="9" t="n">
        <f aca="true">O38-TODAY()</f>
        <v>-13</v>
      </c>
    </row>
    <row r="39" customFormat="false" ht="15" hidden="false" customHeight="false" outlineLevel="0" collapsed="false">
      <c r="A39" s="5" t="n">
        <v>38</v>
      </c>
      <c r="B39" s="5" t="s">
        <v>138</v>
      </c>
      <c r="C39" s="5" t="s">
        <v>131</v>
      </c>
      <c r="D39" s="5" t="s">
        <v>132</v>
      </c>
      <c r="E39" s="5" t="s">
        <v>137</v>
      </c>
      <c r="F39" s="7" t="n">
        <v>30</v>
      </c>
      <c r="G39" s="8" t="n">
        <v>9</v>
      </c>
      <c r="H39" s="9" t="n">
        <f aca="false">F39*G39</f>
        <v>270</v>
      </c>
      <c r="I39" s="5" t="s">
        <v>52</v>
      </c>
      <c r="J39" s="5" t="s">
        <v>53</v>
      </c>
      <c r="K39" s="5" t="s">
        <v>54</v>
      </c>
      <c r="L39" s="5" t="s">
        <v>56</v>
      </c>
      <c r="M39" s="5" t="s">
        <v>57</v>
      </c>
      <c r="N39" s="10" t="n">
        <v>46249</v>
      </c>
      <c r="O39" s="10" t="n">
        <v>46257</v>
      </c>
      <c r="P39" s="9" t="n">
        <f aca="true">O39-TODAY()</f>
        <v>2</v>
      </c>
    </row>
    <row r="40" customFormat="false" ht="15" hidden="false" customHeight="false" outlineLevel="0" collapsed="false">
      <c r="A40" s="5" t="n">
        <v>39</v>
      </c>
      <c r="B40" s="5" t="s">
        <v>139</v>
      </c>
      <c r="C40" s="5" t="s">
        <v>131</v>
      </c>
      <c r="D40" s="5" t="s">
        <v>132</v>
      </c>
      <c r="E40" s="5" t="s">
        <v>137</v>
      </c>
      <c r="F40" s="7" t="n">
        <v>30</v>
      </c>
      <c r="G40" s="8" t="n">
        <v>5</v>
      </c>
      <c r="H40" s="9" t="n">
        <f aca="false">F40*G40</f>
        <v>150</v>
      </c>
      <c r="I40" s="5" t="s">
        <v>52</v>
      </c>
      <c r="J40" s="5" t="s">
        <v>53</v>
      </c>
      <c r="K40" s="5" t="s">
        <v>54</v>
      </c>
      <c r="L40" s="5" t="s">
        <v>56</v>
      </c>
      <c r="M40" s="5" t="s">
        <v>57</v>
      </c>
      <c r="N40" s="10" t="n">
        <v>46226</v>
      </c>
      <c r="O40" s="10" t="n">
        <v>46238</v>
      </c>
      <c r="P40" s="9" t="n">
        <f aca="true">O40-TODAY()</f>
        <v>-17</v>
      </c>
    </row>
    <row r="41" customFormat="false" ht="15" hidden="false" customHeight="false" outlineLevel="0" collapsed="false">
      <c r="A41" s="5" t="n">
        <v>40</v>
      </c>
      <c r="B41" s="5" t="s">
        <v>142</v>
      </c>
      <c r="C41" s="5" t="s">
        <v>131</v>
      </c>
      <c r="D41" s="5" t="s">
        <v>132</v>
      </c>
      <c r="E41" s="5" t="s">
        <v>143</v>
      </c>
      <c r="F41" s="7" t="n">
        <v>4</v>
      </c>
      <c r="G41" s="8" t="n">
        <v>43</v>
      </c>
      <c r="H41" s="9" t="n">
        <f aca="false">F41*G41</f>
        <v>172</v>
      </c>
      <c r="I41" s="5" t="s">
        <v>52</v>
      </c>
      <c r="J41" s="5" t="s">
        <v>53</v>
      </c>
      <c r="K41" s="5" t="s">
        <v>54</v>
      </c>
      <c r="L41" s="5" t="s">
        <v>56</v>
      </c>
      <c r="M41" s="5" t="s">
        <v>57</v>
      </c>
      <c r="N41" s="10" t="n">
        <v>46219</v>
      </c>
      <c r="O41" s="10" t="n">
        <v>46229</v>
      </c>
      <c r="P41" s="9" t="n">
        <f aca="true">O41-TODAY()</f>
        <v>-26</v>
      </c>
    </row>
    <row r="42" customFormat="false" ht="15" hidden="false" customHeight="false" outlineLevel="0" collapsed="false">
      <c r="A42" s="5" t="n">
        <v>41</v>
      </c>
      <c r="B42" s="5" t="s">
        <v>144</v>
      </c>
      <c r="C42" s="5" t="s">
        <v>131</v>
      </c>
      <c r="D42" s="5" t="s">
        <v>132</v>
      </c>
      <c r="E42" s="5" t="s">
        <v>145</v>
      </c>
      <c r="F42" s="7" t="n">
        <v>25</v>
      </c>
      <c r="G42" s="8" t="n">
        <v>10</v>
      </c>
      <c r="H42" s="9" t="n">
        <f aca="false">F42*G42</f>
        <v>250</v>
      </c>
      <c r="I42" s="5" t="s">
        <v>52</v>
      </c>
      <c r="J42" s="5" t="s">
        <v>53</v>
      </c>
      <c r="K42" s="5" t="s">
        <v>54</v>
      </c>
      <c r="L42" s="5" t="s">
        <v>56</v>
      </c>
      <c r="M42" s="5" t="s">
        <v>57</v>
      </c>
      <c r="N42" s="10" t="n">
        <v>46246</v>
      </c>
      <c r="O42" s="10" t="n">
        <v>46258</v>
      </c>
      <c r="P42" s="9" t="n">
        <f aca="true">O42-TODAY()</f>
        <v>3</v>
      </c>
    </row>
    <row r="43" customFormat="false" ht="15" hidden="false" customHeight="false" outlineLevel="0" collapsed="false">
      <c r="A43" s="5" t="n">
        <v>42</v>
      </c>
      <c r="B43" s="5" t="s">
        <v>91</v>
      </c>
      <c r="C43" s="5" t="s">
        <v>92</v>
      </c>
      <c r="D43" s="5" t="s">
        <v>93</v>
      </c>
      <c r="E43" s="5" t="s">
        <v>94</v>
      </c>
      <c r="F43" s="7" t="n">
        <v>25</v>
      </c>
      <c r="G43" s="8" t="n">
        <v>3</v>
      </c>
      <c r="H43" s="9" t="n">
        <f aca="false">F43*G43</f>
        <v>75</v>
      </c>
      <c r="I43" s="5" t="s">
        <v>52</v>
      </c>
      <c r="J43" s="5" t="s">
        <v>53</v>
      </c>
      <c r="K43" s="5" t="s">
        <v>54</v>
      </c>
      <c r="L43" s="5" t="s">
        <v>56</v>
      </c>
      <c r="M43" s="5" t="s">
        <v>57</v>
      </c>
      <c r="N43" s="10" t="n">
        <v>46219</v>
      </c>
      <c r="O43" s="10" t="n">
        <v>46470</v>
      </c>
      <c r="P43" s="9" t="n">
        <f aca="true">O43-TODAY()</f>
        <v>215</v>
      </c>
    </row>
    <row r="44" customFormat="false" ht="15" hidden="false" customHeight="false" outlineLevel="0" collapsed="false">
      <c r="A44" s="5" t="n">
        <v>43</v>
      </c>
      <c r="B44" s="5" t="s">
        <v>110</v>
      </c>
      <c r="C44" s="5" t="s">
        <v>111</v>
      </c>
      <c r="D44" s="5" t="s">
        <v>93</v>
      </c>
      <c r="E44" s="5" t="s">
        <v>112</v>
      </c>
      <c r="F44" s="7" t="n">
        <v>11.3</v>
      </c>
      <c r="G44" s="8" t="n">
        <v>17</v>
      </c>
      <c r="H44" s="9" t="n">
        <f aca="false">F44*G44</f>
        <v>192.1</v>
      </c>
      <c r="I44" s="5" t="s">
        <v>52</v>
      </c>
      <c r="J44" s="5" t="s">
        <v>53</v>
      </c>
      <c r="K44" s="5" t="s">
        <v>54</v>
      </c>
      <c r="L44" s="5" t="s">
        <v>56</v>
      </c>
      <c r="M44" s="5" t="s">
        <v>57</v>
      </c>
      <c r="N44" s="10" t="n">
        <v>46228</v>
      </c>
      <c r="O44" s="10" t="n">
        <v>46499</v>
      </c>
      <c r="P44" s="9" t="n">
        <f aca="true">O44-TODAY()</f>
        <v>244</v>
      </c>
    </row>
    <row r="45" customFormat="false" ht="15" hidden="false" customHeight="false" outlineLevel="0" collapsed="false">
      <c r="A45" s="5" t="n">
        <v>44</v>
      </c>
      <c r="B45" s="5" t="s">
        <v>120</v>
      </c>
      <c r="C45" s="5" t="s">
        <v>111</v>
      </c>
      <c r="D45" s="5" t="s">
        <v>93</v>
      </c>
      <c r="E45" s="5" t="s">
        <v>112</v>
      </c>
      <c r="F45" s="7" t="n">
        <v>11.3</v>
      </c>
      <c r="G45" s="8" t="n">
        <v>11</v>
      </c>
      <c r="H45" s="9" t="n">
        <f aca="false">F45*G45</f>
        <v>124.3</v>
      </c>
      <c r="I45" s="5" t="s">
        <v>52</v>
      </c>
      <c r="J45" s="5" t="s">
        <v>53</v>
      </c>
      <c r="K45" s="5" t="s">
        <v>54</v>
      </c>
      <c r="L45" s="5" t="s">
        <v>56</v>
      </c>
      <c r="M45" s="5" t="s">
        <v>57</v>
      </c>
      <c r="N45" s="10" t="n">
        <v>46211</v>
      </c>
      <c r="O45" s="10" t="n">
        <v>46617</v>
      </c>
      <c r="P45" s="9" t="n">
        <f aca="true">O45-TODAY()</f>
        <v>362</v>
      </c>
    </row>
    <row r="46" customFormat="false" ht="15" hidden="false" customHeight="false" outlineLevel="0" collapsed="false">
      <c r="A46" s="5" t="n">
        <v>45</v>
      </c>
      <c r="B46" s="5" t="s">
        <v>91</v>
      </c>
      <c r="C46" s="5" t="s">
        <v>92</v>
      </c>
      <c r="D46" s="5" t="s">
        <v>93</v>
      </c>
      <c r="E46" s="5" t="s">
        <v>94</v>
      </c>
      <c r="F46" s="7" t="n">
        <v>25</v>
      </c>
      <c r="G46" s="8" t="n">
        <v>8</v>
      </c>
      <c r="H46" s="9" t="n">
        <f aca="false">F46*G46</f>
        <v>200</v>
      </c>
      <c r="I46" s="5" t="s">
        <v>62</v>
      </c>
      <c r="J46" s="5" t="s">
        <v>63</v>
      </c>
      <c r="K46" s="5" t="s">
        <v>64</v>
      </c>
      <c r="L46" s="5" t="s">
        <v>66</v>
      </c>
      <c r="M46" s="5" t="s">
        <v>67</v>
      </c>
      <c r="N46" s="10" t="n">
        <v>46211</v>
      </c>
      <c r="O46" s="10" t="n">
        <v>46595</v>
      </c>
      <c r="P46" s="9" t="n">
        <f aca="true">O46-TODAY()</f>
        <v>340</v>
      </c>
    </row>
    <row r="47" customFormat="false" ht="15" hidden="false" customHeight="false" outlineLevel="0" collapsed="false">
      <c r="A47" s="5" t="n">
        <v>46</v>
      </c>
      <c r="B47" s="5" t="s">
        <v>99</v>
      </c>
      <c r="C47" s="5" t="s">
        <v>92</v>
      </c>
      <c r="D47" s="5" t="s">
        <v>93</v>
      </c>
      <c r="E47" s="5" t="s">
        <v>100</v>
      </c>
      <c r="F47" s="7" t="n">
        <v>20</v>
      </c>
      <c r="G47" s="8" t="n">
        <v>8</v>
      </c>
      <c r="H47" s="9" t="n">
        <f aca="false">F47*G47</f>
        <v>160</v>
      </c>
      <c r="I47" s="5" t="s">
        <v>62</v>
      </c>
      <c r="J47" s="5" t="s">
        <v>63</v>
      </c>
      <c r="K47" s="5" t="s">
        <v>64</v>
      </c>
      <c r="L47" s="5" t="s">
        <v>66</v>
      </c>
      <c r="M47" s="5" t="s">
        <v>67</v>
      </c>
      <c r="N47" s="10" t="n">
        <v>46219</v>
      </c>
      <c r="O47" s="10" t="n">
        <v>46499</v>
      </c>
      <c r="P47" s="9" t="n">
        <f aca="true">O47-TODAY()</f>
        <v>244</v>
      </c>
    </row>
    <row r="48" customFormat="false" ht="15" hidden="false" customHeight="false" outlineLevel="0" collapsed="false">
      <c r="A48" s="5" t="n">
        <v>47</v>
      </c>
      <c r="B48" s="5" t="s">
        <v>101</v>
      </c>
      <c r="C48" s="5" t="s">
        <v>92</v>
      </c>
      <c r="D48" s="5" t="s">
        <v>93</v>
      </c>
      <c r="E48" s="5" t="s">
        <v>100</v>
      </c>
      <c r="F48" s="7" t="n">
        <v>20</v>
      </c>
      <c r="G48" s="8" t="n">
        <v>6</v>
      </c>
      <c r="H48" s="9" t="n">
        <f aca="false">F48*G48</f>
        <v>120</v>
      </c>
      <c r="I48" s="5" t="s">
        <v>62</v>
      </c>
      <c r="J48" s="5" t="s">
        <v>63</v>
      </c>
      <c r="K48" s="5" t="s">
        <v>64</v>
      </c>
      <c r="L48" s="5" t="s">
        <v>66</v>
      </c>
      <c r="M48" s="5" t="s">
        <v>67</v>
      </c>
      <c r="N48" s="10" t="n">
        <v>46229</v>
      </c>
      <c r="O48" s="10" t="n">
        <v>46511</v>
      </c>
      <c r="P48" s="9" t="n">
        <f aca="true">O48-TODAY()</f>
        <v>256</v>
      </c>
    </row>
    <row r="49" customFormat="false" ht="15" hidden="false" customHeight="false" outlineLevel="0" collapsed="false">
      <c r="A49" s="5" t="n">
        <v>48</v>
      </c>
      <c r="B49" s="5" t="s">
        <v>102</v>
      </c>
      <c r="C49" s="5" t="s">
        <v>92</v>
      </c>
      <c r="D49" s="5" t="s">
        <v>93</v>
      </c>
      <c r="E49" s="5" t="s">
        <v>100</v>
      </c>
      <c r="F49" s="7" t="n">
        <v>20</v>
      </c>
      <c r="G49" s="8" t="n">
        <v>7</v>
      </c>
      <c r="H49" s="9" t="n">
        <f aca="false">F49*G49</f>
        <v>140</v>
      </c>
      <c r="I49" s="5" t="s">
        <v>62</v>
      </c>
      <c r="J49" s="5" t="s">
        <v>63</v>
      </c>
      <c r="K49" s="5" t="s">
        <v>64</v>
      </c>
      <c r="L49" s="5" t="s">
        <v>66</v>
      </c>
      <c r="M49" s="5" t="s">
        <v>67</v>
      </c>
      <c r="N49" s="10" t="n">
        <v>46229</v>
      </c>
      <c r="O49" s="10" t="n">
        <v>46435</v>
      </c>
      <c r="P49" s="9" t="n">
        <f aca="true">O49-TODAY()</f>
        <v>180</v>
      </c>
    </row>
    <row r="50" customFormat="false" ht="15" hidden="false" customHeight="false" outlineLevel="0" collapsed="false">
      <c r="A50" s="5" t="n">
        <v>49</v>
      </c>
      <c r="B50" s="5" t="s">
        <v>103</v>
      </c>
      <c r="C50" s="5" t="s">
        <v>92</v>
      </c>
      <c r="D50" s="5" t="s">
        <v>93</v>
      </c>
      <c r="E50" s="5" t="s">
        <v>104</v>
      </c>
      <c r="F50" s="7" t="n">
        <v>10</v>
      </c>
      <c r="G50" s="8" t="n">
        <v>28</v>
      </c>
      <c r="H50" s="9" t="n">
        <f aca="false">F50*G50</f>
        <v>280</v>
      </c>
      <c r="I50" s="5" t="s">
        <v>62</v>
      </c>
      <c r="J50" s="5" t="s">
        <v>63</v>
      </c>
      <c r="K50" s="5" t="s">
        <v>64</v>
      </c>
      <c r="L50" s="5" t="s">
        <v>66</v>
      </c>
      <c r="M50" s="5" t="s">
        <v>67</v>
      </c>
      <c r="N50" s="10" t="n">
        <v>46224</v>
      </c>
      <c r="O50" s="10" t="n">
        <v>46566</v>
      </c>
      <c r="P50" s="9" t="n">
        <f aca="true">O50-TODAY()</f>
        <v>311</v>
      </c>
    </row>
    <row r="51" customFormat="false" ht="15" hidden="false" customHeight="false" outlineLevel="0" collapsed="false">
      <c r="A51" s="5" t="n">
        <v>50</v>
      </c>
      <c r="B51" s="5" t="s">
        <v>105</v>
      </c>
      <c r="C51" s="5" t="s">
        <v>92</v>
      </c>
      <c r="D51" s="5" t="s">
        <v>93</v>
      </c>
      <c r="E51" s="5" t="s">
        <v>106</v>
      </c>
      <c r="F51" s="7" t="n">
        <v>24</v>
      </c>
      <c r="G51" s="8" t="n">
        <v>4</v>
      </c>
      <c r="H51" s="9" t="n">
        <f aca="false">F51*G51</f>
        <v>96</v>
      </c>
      <c r="I51" s="5" t="s">
        <v>62</v>
      </c>
      <c r="J51" s="5" t="s">
        <v>63</v>
      </c>
      <c r="K51" s="5" t="s">
        <v>64</v>
      </c>
      <c r="L51" s="5" t="s">
        <v>66</v>
      </c>
      <c r="M51" s="5" t="s">
        <v>67</v>
      </c>
      <c r="N51" s="10" t="n">
        <v>46229</v>
      </c>
      <c r="O51" s="10" t="n">
        <v>46424</v>
      </c>
      <c r="P51" s="9" t="n">
        <f aca="true">O51-TODAY()</f>
        <v>169</v>
      </c>
    </row>
    <row r="52" customFormat="false" ht="15" hidden="false" customHeight="false" outlineLevel="0" collapsed="false">
      <c r="A52" s="5" t="n">
        <v>51</v>
      </c>
      <c r="B52" s="5" t="s">
        <v>107</v>
      </c>
      <c r="C52" s="5" t="s">
        <v>92</v>
      </c>
      <c r="D52" s="5" t="s">
        <v>93</v>
      </c>
      <c r="E52" s="5" t="s">
        <v>106</v>
      </c>
      <c r="F52" s="7" t="n">
        <v>24</v>
      </c>
      <c r="G52" s="8" t="n">
        <v>14</v>
      </c>
      <c r="H52" s="9" t="n">
        <f aca="false">F52*G52</f>
        <v>336</v>
      </c>
      <c r="I52" s="5" t="s">
        <v>62</v>
      </c>
      <c r="J52" s="5" t="s">
        <v>63</v>
      </c>
      <c r="K52" s="5" t="s">
        <v>64</v>
      </c>
      <c r="L52" s="5" t="s">
        <v>66</v>
      </c>
      <c r="M52" s="5" t="s">
        <v>67</v>
      </c>
      <c r="N52" s="10" t="n">
        <v>46242</v>
      </c>
      <c r="O52" s="10" t="n">
        <v>46439</v>
      </c>
      <c r="P52" s="9" t="n">
        <f aca="true">O52-TODAY()</f>
        <v>184</v>
      </c>
    </row>
    <row r="53" customFormat="false" ht="15" hidden="false" customHeight="false" outlineLevel="0" collapsed="false">
      <c r="A53" s="5" t="n">
        <v>52</v>
      </c>
      <c r="B53" s="5" t="s">
        <v>108</v>
      </c>
      <c r="C53" s="5" t="s">
        <v>92</v>
      </c>
      <c r="D53" s="5" t="s">
        <v>93</v>
      </c>
      <c r="E53" s="5" t="s">
        <v>94</v>
      </c>
      <c r="F53" s="7" t="n">
        <v>25</v>
      </c>
      <c r="G53" s="8" t="n">
        <v>6</v>
      </c>
      <c r="H53" s="9" t="n">
        <f aca="false">F53*G53</f>
        <v>150</v>
      </c>
      <c r="I53" s="5" t="s">
        <v>62</v>
      </c>
      <c r="J53" s="5" t="s">
        <v>63</v>
      </c>
      <c r="K53" s="5" t="s">
        <v>64</v>
      </c>
      <c r="L53" s="5" t="s">
        <v>66</v>
      </c>
      <c r="M53" s="5" t="s">
        <v>67</v>
      </c>
      <c r="N53" s="10" t="n">
        <v>46241</v>
      </c>
      <c r="O53" s="10" t="n">
        <v>46533</v>
      </c>
      <c r="P53" s="9" t="n">
        <f aca="true">O53-TODAY()</f>
        <v>278</v>
      </c>
    </row>
    <row r="54" customFormat="false" ht="15" hidden="false" customHeight="false" outlineLevel="0" collapsed="false">
      <c r="A54" s="5" t="n">
        <v>53</v>
      </c>
      <c r="B54" s="5" t="s">
        <v>110</v>
      </c>
      <c r="C54" s="5" t="s">
        <v>111</v>
      </c>
      <c r="D54" s="5" t="s">
        <v>93</v>
      </c>
      <c r="E54" s="5" t="s">
        <v>112</v>
      </c>
      <c r="F54" s="7" t="n">
        <v>11.3</v>
      </c>
      <c r="G54" s="8" t="n">
        <v>15</v>
      </c>
      <c r="H54" s="9" t="n">
        <f aca="false">F54*G54</f>
        <v>169.5</v>
      </c>
      <c r="I54" s="5" t="s">
        <v>62</v>
      </c>
      <c r="J54" s="5" t="s">
        <v>63</v>
      </c>
      <c r="K54" s="5" t="s">
        <v>64</v>
      </c>
      <c r="L54" s="5" t="s">
        <v>66</v>
      </c>
      <c r="M54" s="5" t="s">
        <v>67</v>
      </c>
      <c r="N54" s="10" t="n">
        <v>46244</v>
      </c>
      <c r="O54" s="10" t="n">
        <v>46452</v>
      </c>
      <c r="P54" s="9" t="n">
        <f aca="true">O54-TODAY()</f>
        <v>197</v>
      </c>
    </row>
    <row r="55" customFormat="false" ht="15" hidden="false" customHeight="false" outlineLevel="0" collapsed="false">
      <c r="A55" s="5" t="n">
        <v>54</v>
      </c>
      <c r="B55" s="5" t="s">
        <v>113</v>
      </c>
      <c r="C55" s="5" t="s">
        <v>111</v>
      </c>
      <c r="D55" s="5" t="s">
        <v>93</v>
      </c>
      <c r="E55" s="5" t="s">
        <v>112</v>
      </c>
      <c r="F55" s="7" t="n">
        <v>11.3</v>
      </c>
      <c r="G55" s="8" t="n">
        <v>12</v>
      </c>
      <c r="H55" s="9" t="n">
        <f aca="false">F55*G55</f>
        <v>135.6</v>
      </c>
      <c r="I55" s="5" t="s">
        <v>62</v>
      </c>
      <c r="J55" s="5" t="s">
        <v>63</v>
      </c>
      <c r="K55" s="5" t="s">
        <v>64</v>
      </c>
      <c r="L55" s="5" t="s">
        <v>66</v>
      </c>
      <c r="M55" s="5" t="s">
        <v>67</v>
      </c>
      <c r="N55" s="10" t="n">
        <v>46233</v>
      </c>
      <c r="O55" s="10" t="n">
        <v>46566</v>
      </c>
      <c r="P55" s="9" t="n">
        <f aca="true">O55-TODAY()</f>
        <v>311</v>
      </c>
    </row>
    <row r="56" customFormat="false" ht="15" hidden="false" customHeight="false" outlineLevel="0" collapsed="false">
      <c r="A56" s="5" t="n">
        <v>55</v>
      </c>
      <c r="B56" s="5" t="s">
        <v>114</v>
      </c>
      <c r="C56" s="5" t="s">
        <v>111</v>
      </c>
      <c r="D56" s="5" t="s">
        <v>93</v>
      </c>
      <c r="E56" s="5" t="s">
        <v>115</v>
      </c>
      <c r="F56" s="7" t="n">
        <v>10.9</v>
      </c>
      <c r="G56" s="8" t="n">
        <v>22</v>
      </c>
      <c r="H56" s="9" t="n">
        <f aca="false">F56*G56</f>
        <v>239.8</v>
      </c>
      <c r="I56" s="5" t="s">
        <v>62</v>
      </c>
      <c r="J56" s="5" t="s">
        <v>63</v>
      </c>
      <c r="K56" s="5" t="s">
        <v>64</v>
      </c>
      <c r="L56" s="5" t="s">
        <v>66</v>
      </c>
      <c r="M56" s="5" t="s">
        <v>67</v>
      </c>
      <c r="N56" s="10" t="n">
        <v>46251</v>
      </c>
      <c r="O56" s="10" t="n">
        <v>46457</v>
      </c>
      <c r="P56" s="9" t="n">
        <f aca="true">O56-TODAY()</f>
        <v>202</v>
      </c>
    </row>
    <row r="57" customFormat="false" ht="15" hidden="false" customHeight="false" outlineLevel="0" collapsed="false">
      <c r="A57" s="5" t="n">
        <v>56</v>
      </c>
      <c r="B57" s="5" t="s">
        <v>116</v>
      </c>
      <c r="C57" s="5" t="s">
        <v>111</v>
      </c>
      <c r="D57" s="5" t="s">
        <v>93</v>
      </c>
      <c r="E57" s="5" t="s">
        <v>117</v>
      </c>
      <c r="F57" s="7" t="n">
        <v>7.5</v>
      </c>
      <c r="G57" s="8" t="n">
        <v>35</v>
      </c>
      <c r="H57" s="9" t="n">
        <f aca="false">F57*G57</f>
        <v>262.5</v>
      </c>
      <c r="I57" s="5" t="s">
        <v>62</v>
      </c>
      <c r="J57" s="5" t="s">
        <v>63</v>
      </c>
      <c r="K57" s="5" t="s">
        <v>64</v>
      </c>
      <c r="L57" s="5" t="s">
        <v>66</v>
      </c>
      <c r="M57" s="5" t="s">
        <v>67</v>
      </c>
      <c r="N57" s="10" t="n">
        <v>46254</v>
      </c>
      <c r="O57" s="10" t="n">
        <v>46579</v>
      </c>
      <c r="P57" s="9" t="n">
        <f aca="true">O57-TODAY()</f>
        <v>324</v>
      </c>
    </row>
    <row r="58" customFormat="false" ht="15" hidden="false" customHeight="false" outlineLevel="0" collapsed="false">
      <c r="A58" s="5" t="n">
        <v>57</v>
      </c>
      <c r="B58" s="5" t="s">
        <v>118</v>
      </c>
      <c r="C58" s="5" t="s">
        <v>111</v>
      </c>
      <c r="D58" s="5" t="s">
        <v>93</v>
      </c>
      <c r="E58" s="5" t="s">
        <v>119</v>
      </c>
      <c r="F58" s="7" t="n">
        <v>9.4</v>
      </c>
      <c r="G58" s="8" t="n">
        <v>19</v>
      </c>
      <c r="H58" s="9" t="n">
        <f aca="false">F58*G58</f>
        <v>178.6</v>
      </c>
      <c r="I58" s="5" t="s">
        <v>62</v>
      </c>
      <c r="J58" s="5" t="s">
        <v>63</v>
      </c>
      <c r="K58" s="5" t="s">
        <v>64</v>
      </c>
      <c r="L58" s="5" t="s">
        <v>66</v>
      </c>
      <c r="M58" s="5" t="s">
        <v>67</v>
      </c>
      <c r="N58" s="10" t="n">
        <v>46245</v>
      </c>
      <c r="O58" s="10" t="n">
        <v>46562</v>
      </c>
      <c r="P58" s="9" t="n">
        <f aca="true">O58-TODAY()</f>
        <v>307</v>
      </c>
    </row>
    <row r="59" customFormat="false" ht="15" hidden="false" customHeight="false" outlineLevel="0" collapsed="false">
      <c r="A59" s="5" t="n">
        <v>58</v>
      </c>
      <c r="B59" s="5" t="s">
        <v>122</v>
      </c>
      <c r="C59" s="5" t="s">
        <v>92</v>
      </c>
      <c r="D59" s="5" t="s">
        <v>93</v>
      </c>
      <c r="E59" s="5" t="s">
        <v>123</v>
      </c>
      <c r="F59" s="7" t="n">
        <v>13.5</v>
      </c>
      <c r="G59" s="8" t="n">
        <v>9</v>
      </c>
      <c r="H59" s="9" t="n">
        <f aca="false">F59*G59</f>
        <v>121.5</v>
      </c>
      <c r="I59" s="5" t="s">
        <v>62</v>
      </c>
      <c r="J59" s="5" t="s">
        <v>63</v>
      </c>
      <c r="K59" s="5" t="s">
        <v>64</v>
      </c>
      <c r="L59" s="5" t="s">
        <v>66</v>
      </c>
      <c r="M59" s="5" t="s">
        <v>67</v>
      </c>
      <c r="N59" s="10" t="n">
        <v>46248</v>
      </c>
      <c r="O59" s="10" t="n">
        <v>46521</v>
      </c>
      <c r="P59" s="9" t="n">
        <f aca="true">O59-TODAY()</f>
        <v>266</v>
      </c>
    </row>
    <row r="60" customFormat="false" ht="15" hidden="false" customHeight="false" outlineLevel="0" collapsed="false">
      <c r="A60" s="5" t="n">
        <v>59</v>
      </c>
      <c r="B60" s="5" t="s">
        <v>126</v>
      </c>
      <c r="C60" s="5" t="s">
        <v>92</v>
      </c>
      <c r="D60" s="5" t="s">
        <v>93</v>
      </c>
      <c r="E60" s="5" t="s">
        <v>127</v>
      </c>
      <c r="F60" s="7" t="n">
        <v>10.8</v>
      </c>
      <c r="G60" s="8" t="n">
        <v>31</v>
      </c>
      <c r="H60" s="9" t="n">
        <f aca="false">F60*G60</f>
        <v>334.8</v>
      </c>
      <c r="I60" s="5" t="s">
        <v>62</v>
      </c>
      <c r="J60" s="5" t="s">
        <v>63</v>
      </c>
      <c r="K60" s="5" t="s">
        <v>64</v>
      </c>
      <c r="L60" s="5" t="s">
        <v>66</v>
      </c>
      <c r="M60" s="5" t="s">
        <v>67</v>
      </c>
      <c r="N60" s="10" t="n">
        <v>46215</v>
      </c>
      <c r="O60" s="10" t="n">
        <v>46401</v>
      </c>
      <c r="P60" s="9" t="n">
        <f aca="true">O60-TODAY()</f>
        <v>146</v>
      </c>
    </row>
    <row r="61" customFormat="false" ht="15" hidden="false" customHeight="false" outlineLevel="0" collapsed="false">
      <c r="A61" s="5" t="n">
        <v>60</v>
      </c>
      <c r="B61" s="5" t="s">
        <v>128</v>
      </c>
      <c r="C61" s="5" t="s">
        <v>92</v>
      </c>
      <c r="D61" s="5" t="s">
        <v>93</v>
      </c>
      <c r="E61" s="5" t="s">
        <v>129</v>
      </c>
      <c r="F61" s="7" t="n">
        <v>17.3</v>
      </c>
      <c r="G61" s="8" t="n">
        <v>21</v>
      </c>
      <c r="H61" s="9" t="n">
        <f aca="false">F61*G61</f>
        <v>363.3</v>
      </c>
      <c r="I61" s="5" t="s">
        <v>62</v>
      </c>
      <c r="J61" s="5" t="s">
        <v>63</v>
      </c>
      <c r="K61" s="5" t="s">
        <v>64</v>
      </c>
      <c r="L61" s="5" t="s">
        <v>66</v>
      </c>
      <c r="M61" s="5" t="s">
        <v>67</v>
      </c>
      <c r="N61" s="10" t="n">
        <v>46250</v>
      </c>
      <c r="O61" s="10" t="n">
        <v>46653</v>
      </c>
      <c r="P61" s="9" t="n">
        <f aca="true">O61-TODAY()</f>
        <v>398</v>
      </c>
    </row>
    <row r="62" customFormat="false" ht="15" hidden="false" customHeight="false" outlineLevel="0" collapsed="false">
      <c r="A62" s="5" t="n">
        <v>61</v>
      </c>
      <c r="B62" s="5" t="s">
        <v>130</v>
      </c>
      <c r="C62" s="5" t="s">
        <v>131</v>
      </c>
      <c r="D62" s="5" t="s">
        <v>132</v>
      </c>
      <c r="E62" s="5" t="s">
        <v>94</v>
      </c>
      <c r="F62" s="7" t="n">
        <v>25</v>
      </c>
      <c r="G62" s="8" t="n">
        <v>11</v>
      </c>
      <c r="H62" s="9" t="n">
        <f aca="false">F62*G62</f>
        <v>275</v>
      </c>
      <c r="I62" s="5" t="s">
        <v>62</v>
      </c>
      <c r="J62" s="5" t="s">
        <v>63</v>
      </c>
      <c r="K62" s="5" t="s">
        <v>64</v>
      </c>
      <c r="L62" s="5" t="s">
        <v>66</v>
      </c>
      <c r="M62" s="5" t="s">
        <v>67</v>
      </c>
      <c r="N62" s="10" t="n">
        <v>46241</v>
      </c>
      <c r="O62" s="10" t="n">
        <v>46253</v>
      </c>
      <c r="P62" s="9" t="n">
        <f aca="true">O62-TODAY()</f>
        <v>-2</v>
      </c>
    </row>
    <row r="63" customFormat="false" ht="15" hidden="false" customHeight="false" outlineLevel="0" collapsed="false">
      <c r="A63" s="5" t="n">
        <v>62</v>
      </c>
      <c r="B63" s="5" t="s">
        <v>133</v>
      </c>
      <c r="C63" s="5" t="s">
        <v>131</v>
      </c>
      <c r="D63" s="5" t="s">
        <v>132</v>
      </c>
      <c r="E63" s="5" t="s">
        <v>134</v>
      </c>
      <c r="F63" s="7" t="n">
        <v>30</v>
      </c>
      <c r="G63" s="8" t="n">
        <v>10</v>
      </c>
      <c r="H63" s="9" t="n">
        <f aca="false">F63*G63</f>
        <v>300</v>
      </c>
      <c r="I63" s="5" t="s">
        <v>62</v>
      </c>
      <c r="J63" s="5" t="s">
        <v>63</v>
      </c>
      <c r="K63" s="5" t="s">
        <v>64</v>
      </c>
      <c r="L63" s="5" t="s">
        <v>66</v>
      </c>
      <c r="M63" s="5" t="s">
        <v>67</v>
      </c>
      <c r="N63" s="10" t="n">
        <v>46245</v>
      </c>
      <c r="O63" s="10" t="n">
        <v>46255</v>
      </c>
      <c r="P63" s="9" t="n">
        <f aca="true">O63-TODAY()</f>
        <v>0</v>
      </c>
    </row>
    <row r="64" customFormat="false" ht="15" hidden="false" customHeight="false" outlineLevel="0" collapsed="false">
      <c r="A64" s="5" t="n">
        <v>63</v>
      </c>
      <c r="B64" s="5" t="s">
        <v>140</v>
      </c>
      <c r="C64" s="5" t="s">
        <v>131</v>
      </c>
      <c r="D64" s="5" t="s">
        <v>132</v>
      </c>
      <c r="E64" s="5" t="s">
        <v>141</v>
      </c>
      <c r="F64" s="7" t="n">
        <v>27.5</v>
      </c>
      <c r="G64" s="8" t="n">
        <v>8</v>
      </c>
      <c r="H64" s="9" t="n">
        <f aca="false">F64*G64</f>
        <v>220</v>
      </c>
      <c r="I64" s="5" t="s">
        <v>62</v>
      </c>
      <c r="J64" s="5" t="s">
        <v>63</v>
      </c>
      <c r="K64" s="5" t="s">
        <v>64</v>
      </c>
      <c r="L64" s="5" t="s">
        <v>66</v>
      </c>
      <c r="M64" s="5" t="s">
        <v>67</v>
      </c>
      <c r="N64" s="10" t="n">
        <v>46232</v>
      </c>
      <c r="O64" s="10" t="n">
        <v>46243</v>
      </c>
      <c r="P64" s="9" t="n">
        <f aca="true">O64-TODAY()</f>
        <v>-12</v>
      </c>
    </row>
    <row r="65" customFormat="false" ht="15" hidden="false" customHeight="false" outlineLevel="0" collapsed="false">
      <c r="A65" s="5" t="n">
        <v>64</v>
      </c>
      <c r="B65" s="5" t="s">
        <v>140</v>
      </c>
      <c r="C65" s="5" t="s">
        <v>131</v>
      </c>
      <c r="D65" s="5" t="s">
        <v>132</v>
      </c>
      <c r="E65" s="5" t="s">
        <v>141</v>
      </c>
      <c r="F65" s="7" t="n">
        <v>27.5</v>
      </c>
      <c r="G65" s="8" t="n">
        <v>7</v>
      </c>
      <c r="H65" s="9" t="n">
        <f aca="false">F65*G65</f>
        <v>192.5</v>
      </c>
      <c r="I65" s="5" t="s">
        <v>70</v>
      </c>
      <c r="J65" s="5" t="s">
        <v>71</v>
      </c>
      <c r="K65" s="5" t="s">
        <v>72</v>
      </c>
      <c r="L65" s="5" t="s">
        <v>56</v>
      </c>
      <c r="M65" s="5" t="s">
        <v>57</v>
      </c>
      <c r="N65" s="10" t="n">
        <v>46231</v>
      </c>
      <c r="O65" s="10" t="n">
        <v>46239</v>
      </c>
      <c r="P65" s="9" t="n">
        <f aca="true">O65-TODAY()</f>
        <v>-16</v>
      </c>
    </row>
    <row r="66" customFormat="false" ht="15" hidden="false" customHeight="false" outlineLevel="0" collapsed="false">
      <c r="A66" s="5" t="n">
        <v>65</v>
      </c>
      <c r="B66" s="5" t="s">
        <v>130</v>
      </c>
      <c r="C66" s="5" t="s">
        <v>131</v>
      </c>
      <c r="D66" s="5" t="s">
        <v>132</v>
      </c>
      <c r="E66" s="5" t="s">
        <v>94</v>
      </c>
      <c r="F66" s="7" t="n">
        <v>25</v>
      </c>
      <c r="G66" s="8" t="n">
        <v>4</v>
      </c>
      <c r="H66" s="9" t="n">
        <f aca="false">F66*G66</f>
        <v>100</v>
      </c>
      <c r="I66" s="5" t="s">
        <v>70</v>
      </c>
      <c r="J66" s="5" t="s">
        <v>71</v>
      </c>
      <c r="K66" s="5" t="s">
        <v>72</v>
      </c>
      <c r="L66" s="5" t="s">
        <v>56</v>
      </c>
      <c r="M66" s="5" t="s">
        <v>57</v>
      </c>
      <c r="N66" s="10" t="n">
        <v>46210</v>
      </c>
      <c r="O66" s="10" t="n">
        <v>46224</v>
      </c>
      <c r="P66" s="9" t="n">
        <f aca="true">O66-TODAY()</f>
        <v>-31</v>
      </c>
    </row>
    <row r="67" customFormat="false" ht="15" hidden="false" customHeight="false" outlineLevel="0" collapsed="false">
      <c r="A67" s="5" t="n">
        <v>66</v>
      </c>
      <c r="B67" s="5" t="s">
        <v>133</v>
      </c>
      <c r="C67" s="5" t="s">
        <v>131</v>
      </c>
      <c r="D67" s="5" t="s">
        <v>132</v>
      </c>
      <c r="E67" s="5" t="s">
        <v>134</v>
      </c>
      <c r="F67" s="7" t="n">
        <v>30</v>
      </c>
      <c r="G67" s="8" t="n">
        <v>7</v>
      </c>
      <c r="H67" s="9" t="n">
        <f aca="false">F67*G67</f>
        <v>210</v>
      </c>
      <c r="I67" s="5" t="s">
        <v>70</v>
      </c>
      <c r="J67" s="5" t="s">
        <v>71</v>
      </c>
      <c r="K67" s="5" t="s">
        <v>72</v>
      </c>
      <c r="L67" s="5" t="s">
        <v>56</v>
      </c>
      <c r="M67" s="5" t="s">
        <v>57</v>
      </c>
      <c r="N67" s="10" t="n">
        <v>46253</v>
      </c>
      <c r="O67" s="10" t="n">
        <v>46267</v>
      </c>
      <c r="P67" s="9" t="n">
        <f aca="true">O67-TODAY()</f>
        <v>12</v>
      </c>
    </row>
    <row r="68" customFormat="false" ht="15" hidden="false" customHeight="false" outlineLevel="0" collapsed="false">
      <c r="A68" s="5" t="n">
        <v>67</v>
      </c>
      <c r="B68" s="5" t="s">
        <v>135</v>
      </c>
      <c r="C68" s="5" t="s">
        <v>131</v>
      </c>
      <c r="D68" s="5" t="s">
        <v>132</v>
      </c>
      <c r="E68" s="5" t="s">
        <v>94</v>
      </c>
      <c r="F68" s="7" t="n">
        <v>25</v>
      </c>
      <c r="G68" s="8" t="n">
        <v>13</v>
      </c>
      <c r="H68" s="9" t="n">
        <f aca="false">F68*G68</f>
        <v>325</v>
      </c>
      <c r="I68" s="5" t="s">
        <v>70</v>
      </c>
      <c r="J68" s="5" t="s">
        <v>71</v>
      </c>
      <c r="K68" s="5" t="s">
        <v>72</v>
      </c>
      <c r="L68" s="5" t="s">
        <v>56</v>
      </c>
      <c r="M68" s="5" t="s">
        <v>57</v>
      </c>
      <c r="N68" s="10" t="n">
        <v>46235</v>
      </c>
      <c r="O68" s="10" t="n">
        <v>46242</v>
      </c>
      <c r="P68" s="9" t="n">
        <f aca="true">O68-TODAY()</f>
        <v>-13</v>
      </c>
    </row>
    <row r="69" customFormat="false" ht="15" hidden="false" customHeight="false" outlineLevel="0" collapsed="false">
      <c r="A69" s="5" t="n">
        <v>68</v>
      </c>
      <c r="B69" s="5" t="s">
        <v>136</v>
      </c>
      <c r="C69" s="5" t="s">
        <v>131</v>
      </c>
      <c r="D69" s="5" t="s">
        <v>132</v>
      </c>
      <c r="E69" s="5" t="s">
        <v>137</v>
      </c>
      <c r="F69" s="7" t="n">
        <v>30</v>
      </c>
      <c r="G69" s="8" t="n">
        <v>7</v>
      </c>
      <c r="H69" s="9" t="n">
        <f aca="false">F69*G69</f>
        <v>210</v>
      </c>
      <c r="I69" s="5" t="s">
        <v>70</v>
      </c>
      <c r="J69" s="5" t="s">
        <v>71</v>
      </c>
      <c r="K69" s="5" t="s">
        <v>72</v>
      </c>
      <c r="L69" s="5" t="s">
        <v>56</v>
      </c>
      <c r="M69" s="5" t="s">
        <v>57</v>
      </c>
      <c r="N69" s="10" t="n">
        <v>46210</v>
      </c>
      <c r="O69" s="10" t="n">
        <v>46220</v>
      </c>
      <c r="P69" s="9" t="n">
        <f aca="true">O69-TODAY()</f>
        <v>-35</v>
      </c>
    </row>
    <row r="70" customFormat="false" ht="15" hidden="false" customHeight="false" outlineLevel="0" collapsed="false">
      <c r="A70" s="5" t="n">
        <v>69</v>
      </c>
      <c r="B70" s="5" t="s">
        <v>138</v>
      </c>
      <c r="C70" s="5" t="s">
        <v>131</v>
      </c>
      <c r="D70" s="5" t="s">
        <v>132</v>
      </c>
      <c r="E70" s="5" t="s">
        <v>137</v>
      </c>
      <c r="F70" s="7" t="n">
        <v>30</v>
      </c>
      <c r="G70" s="8" t="n">
        <v>5</v>
      </c>
      <c r="H70" s="9" t="n">
        <f aca="false">F70*G70</f>
        <v>150</v>
      </c>
      <c r="I70" s="5" t="s">
        <v>70</v>
      </c>
      <c r="J70" s="5" t="s">
        <v>71</v>
      </c>
      <c r="K70" s="5" t="s">
        <v>72</v>
      </c>
      <c r="L70" s="5" t="s">
        <v>56</v>
      </c>
      <c r="M70" s="5" t="s">
        <v>57</v>
      </c>
      <c r="N70" s="10" t="n">
        <v>46221</v>
      </c>
      <c r="O70" s="10" t="n">
        <v>46232</v>
      </c>
      <c r="P70" s="9" t="n">
        <f aca="true">O70-TODAY()</f>
        <v>-23</v>
      </c>
    </row>
    <row r="71" customFormat="false" ht="15" hidden="false" customHeight="false" outlineLevel="0" collapsed="false">
      <c r="A71" s="5" t="n">
        <v>70</v>
      </c>
      <c r="B71" s="5" t="s">
        <v>139</v>
      </c>
      <c r="C71" s="5" t="s">
        <v>131</v>
      </c>
      <c r="D71" s="5" t="s">
        <v>132</v>
      </c>
      <c r="E71" s="5" t="s">
        <v>137</v>
      </c>
      <c r="F71" s="7" t="n">
        <v>30</v>
      </c>
      <c r="G71" s="8" t="n">
        <v>4</v>
      </c>
      <c r="H71" s="9" t="n">
        <f aca="false">F71*G71</f>
        <v>120</v>
      </c>
      <c r="I71" s="5" t="s">
        <v>70</v>
      </c>
      <c r="J71" s="5" t="s">
        <v>71</v>
      </c>
      <c r="K71" s="5" t="s">
        <v>72</v>
      </c>
      <c r="L71" s="5" t="s">
        <v>56</v>
      </c>
      <c r="M71" s="5" t="s">
        <v>57</v>
      </c>
      <c r="N71" s="10" t="n">
        <v>46244</v>
      </c>
      <c r="O71" s="10" t="n">
        <v>46255</v>
      </c>
      <c r="P71" s="9" t="n">
        <f aca="true">O71-TODAY()</f>
        <v>0</v>
      </c>
    </row>
    <row r="72" customFormat="false" ht="15" hidden="false" customHeight="false" outlineLevel="0" collapsed="false">
      <c r="A72" s="5" t="n">
        <v>71</v>
      </c>
      <c r="B72" s="5" t="s">
        <v>142</v>
      </c>
      <c r="C72" s="5" t="s">
        <v>131</v>
      </c>
      <c r="D72" s="5" t="s">
        <v>132</v>
      </c>
      <c r="E72" s="5" t="s">
        <v>143</v>
      </c>
      <c r="F72" s="7" t="n">
        <v>4</v>
      </c>
      <c r="G72" s="8" t="n">
        <v>67</v>
      </c>
      <c r="H72" s="9" t="n">
        <f aca="false">F72*G72</f>
        <v>268</v>
      </c>
      <c r="I72" s="5" t="s">
        <v>70</v>
      </c>
      <c r="J72" s="5" t="s">
        <v>71</v>
      </c>
      <c r="K72" s="5" t="s">
        <v>72</v>
      </c>
      <c r="L72" s="5" t="s">
        <v>56</v>
      </c>
      <c r="M72" s="5" t="s">
        <v>57</v>
      </c>
      <c r="N72" s="10" t="n">
        <v>46240</v>
      </c>
      <c r="O72" s="10" t="n">
        <v>46254</v>
      </c>
      <c r="P72" s="9" t="n">
        <f aca="true">O72-TODAY()</f>
        <v>-1</v>
      </c>
    </row>
    <row r="73" customFormat="false" ht="15" hidden="false" customHeight="false" outlineLevel="0" collapsed="false">
      <c r="A73" s="5" t="n">
        <v>72</v>
      </c>
      <c r="B73" s="5" t="s">
        <v>144</v>
      </c>
      <c r="C73" s="5" t="s">
        <v>131</v>
      </c>
      <c r="D73" s="5" t="s">
        <v>132</v>
      </c>
      <c r="E73" s="5" t="s">
        <v>145</v>
      </c>
      <c r="F73" s="7" t="n">
        <v>25</v>
      </c>
      <c r="G73" s="8" t="n">
        <v>11</v>
      </c>
      <c r="H73" s="9" t="n">
        <f aca="false">F73*G73</f>
        <v>275</v>
      </c>
      <c r="I73" s="5" t="s">
        <v>70</v>
      </c>
      <c r="J73" s="5" t="s">
        <v>71</v>
      </c>
      <c r="K73" s="5" t="s">
        <v>72</v>
      </c>
      <c r="L73" s="5" t="s">
        <v>56</v>
      </c>
      <c r="M73" s="5" t="s">
        <v>57</v>
      </c>
      <c r="N73" s="10" t="n">
        <v>46220</v>
      </c>
      <c r="O73" s="10" t="n">
        <v>46234</v>
      </c>
      <c r="P73" s="9" t="n">
        <f aca="true">O73-TODAY()</f>
        <v>-21</v>
      </c>
    </row>
    <row r="74" customFormat="false" ht="15" hidden="false" customHeight="false" outlineLevel="0" collapsed="false">
      <c r="A74" s="5" t="n">
        <v>73</v>
      </c>
      <c r="B74" s="5" t="s">
        <v>91</v>
      </c>
      <c r="C74" s="5" t="s">
        <v>92</v>
      </c>
      <c r="D74" s="5" t="s">
        <v>93</v>
      </c>
      <c r="E74" s="5" t="s">
        <v>94</v>
      </c>
      <c r="F74" s="7" t="n">
        <v>25</v>
      </c>
      <c r="G74" s="8" t="n">
        <v>8</v>
      </c>
      <c r="H74" s="9" t="n">
        <f aca="false">F74*G74</f>
        <v>200</v>
      </c>
      <c r="I74" s="5" t="s">
        <v>70</v>
      </c>
      <c r="J74" s="5" t="s">
        <v>71</v>
      </c>
      <c r="K74" s="5" t="s">
        <v>72</v>
      </c>
      <c r="L74" s="5" t="s">
        <v>56</v>
      </c>
      <c r="M74" s="5" t="s">
        <v>57</v>
      </c>
      <c r="N74" s="10" t="n">
        <v>46233</v>
      </c>
      <c r="O74" s="10" t="n">
        <v>46575</v>
      </c>
      <c r="P74" s="9" t="n">
        <f aca="true">O74-TODAY()</f>
        <v>320</v>
      </c>
    </row>
    <row r="75" customFormat="false" ht="15" hidden="false" customHeight="false" outlineLevel="0" collapsed="false">
      <c r="A75" s="5" t="n">
        <v>74</v>
      </c>
      <c r="B75" s="5" t="s">
        <v>110</v>
      </c>
      <c r="C75" s="5" t="s">
        <v>111</v>
      </c>
      <c r="D75" s="5" t="s">
        <v>93</v>
      </c>
      <c r="E75" s="5" t="s">
        <v>112</v>
      </c>
      <c r="F75" s="7" t="n">
        <v>11.3</v>
      </c>
      <c r="G75" s="8" t="n">
        <v>23</v>
      </c>
      <c r="H75" s="9" t="n">
        <f aca="false">F75*G75</f>
        <v>259.9</v>
      </c>
      <c r="I75" s="5" t="s">
        <v>70</v>
      </c>
      <c r="J75" s="5" t="s">
        <v>71</v>
      </c>
      <c r="K75" s="5" t="s">
        <v>72</v>
      </c>
      <c r="L75" s="5" t="s">
        <v>56</v>
      </c>
      <c r="M75" s="5" t="s">
        <v>57</v>
      </c>
      <c r="N75" s="10" t="n">
        <v>46240</v>
      </c>
      <c r="O75" s="10" t="n">
        <v>46576</v>
      </c>
      <c r="P75" s="9" t="n">
        <f aca="true">O75-TODAY()</f>
        <v>321</v>
      </c>
    </row>
    <row r="76" customFormat="false" ht="15" hidden="false" customHeight="false" outlineLevel="0" collapsed="false">
      <c r="A76" s="5" t="n">
        <v>75</v>
      </c>
      <c r="B76" s="5" t="s">
        <v>120</v>
      </c>
      <c r="C76" s="5" t="s">
        <v>111</v>
      </c>
      <c r="D76" s="5" t="s">
        <v>93</v>
      </c>
      <c r="E76" s="5" t="s">
        <v>112</v>
      </c>
      <c r="F76" s="7" t="n">
        <v>11.3</v>
      </c>
      <c r="G76" s="8" t="n">
        <v>19</v>
      </c>
      <c r="H76" s="9" t="n">
        <f aca="false">F76*G76</f>
        <v>214.7</v>
      </c>
      <c r="I76" s="5" t="s">
        <v>70</v>
      </c>
      <c r="J76" s="5" t="s">
        <v>71</v>
      </c>
      <c r="K76" s="5" t="s">
        <v>72</v>
      </c>
      <c r="L76" s="5" t="s">
        <v>56</v>
      </c>
      <c r="M76" s="5" t="s">
        <v>57</v>
      </c>
      <c r="N76" s="10" t="n">
        <v>46242</v>
      </c>
      <c r="O76" s="10" t="n">
        <v>46628</v>
      </c>
      <c r="P76" s="9" t="n">
        <f aca="true">O76-TODAY()</f>
        <v>373</v>
      </c>
    </row>
    <row r="77" customFormat="false" ht="15" hidden="false" customHeight="false" outlineLevel="0" collapsed="false">
      <c r="A77" s="5" t="n">
        <v>76</v>
      </c>
      <c r="B77" s="5" t="s">
        <v>146</v>
      </c>
      <c r="C77" s="5" t="s">
        <v>147</v>
      </c>
      <c r="D77" s="5" t="s">
        <v>93</v>
      </c>
      <c r="E77" s="5" t="s">
        <v>148</v>
      </c>
      <c r="F77" s="7" t="n">
        <v>15</v>
      </c>
      <c r="G77" s="8" t="n">
        <v>9</v>
      </c>
      <c r="H77" s="9" t="n">
        <f aca="false">F77*G77</f>
        <v>135</v>
      </c>
      <c r="I77" s="5" t="s">
        <v>70</v>
      </c>
      <c r="J77" s="5" t="s">
        <v>71</v>
      </c>
      <c r="K77" s="5" t="s">
        <v>72</v>
      </c>
      <c r="L77" s="5" t="s">
        <v>56</v>
      </c>
      <c r="M77" s="5" t="s">
        <v>57</v>
      </c>
      <c r="N77" s="10" t="n">
        <v>46239</v>
      </c>
      <c r="O77" s="10" t="n">
        <v>46628</v>
      </c>
      <c r="P77" s="9" t="n">
        <f aca="true">O77-TODAY()</f>
        <v>373</v>
      </c>
    </row>
    <row r="78" customFormat="false" ht="15" hidden="false" customHeight="false" outlineLevel="0" collapsed="false">
      <c r="A78" s="5" t="n">
        <v>77</v>
      </c>
      <c r="B78" s="5" t="s">
        <v>149</v>
      </c>
      <c r="C78" s="5" t="s">
        <v>147</v>
      </c>
      <c r="D78" s="5" t="s">
        <v>93</v>
      </c>
      <c r="E78" s="5" t="s">
        <v>150</v>
      </c>
      <c r="F78" s="7" t="n">
        <v>8</v>
      </c>
      <c r="G78" s="8" t="n">
        <v>40</v>
      </c>
      <c r="H78" s="9" t="n">
        <f aca="false">F78*G78</f>
        <v>320</v>
      </c>
      <c r="I78" s="5" t="s">
        <v>70</v>
      </c>
      <c r="J78" s="5" t="s">
        <v>71</v>
      </c>
      <c r="K78" s="5" t="s">
        <v>72</v>
      </c>
      <c r="L78" s="5" t="s">
        <v>56</v>
      </c>
      <c r="M78" s="5" t="s">
        <v>57</v>
      </c>
      <c r="N78" s="10" t="n">
        <v>46229</v>
      </c>
      <c r="O78" s="10" t="n">
        <v>46598</v>
      </c>
      <c r="P78" s="9" t="n">
        <f aca="true">O78-TODAY()</f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4" t="s">
        <v>83</v>
      </c>
      <c r="B1" s="4" t="s">
        <v>84</v>
      </c>
      <c r="C1" s="4" t="s">
        <v>85</v>
      </c>
      <c r="D1" s="4" t="s">
        <v>86</v>
      </c>
      <c r="E1" s="4" t="s">
        <v>154</v>
      </c>
      <c r="F1" s="4" t="s">
        <v>155</v>
      </c>
      <c r="G1" s="4" t="s">
        <v>156</v>
      </c>
      <c r="H1" s="4" t="s">
        <v>157</v>
      </c>
    </row>
    <row r="2" customFormat="false" ht="15" hidden="false" customHeight="false" outlineLevel="0" collapsed="false">
      <c r="A2" s="5" t="s">
        <v>95</v>
      </c>
      <c r="B2" s="5" t="s">
        <v>96</v>
      </c>
      <c r="C2" s="5" t="s">
        <v>54</v>
      </c>
      <c r="D2" s="5" t="s">
        <v>97</v>
      </c>
      <c r="E2" s="8" t="n">
        <v>450000</v>
      </c>
      <c r="F2" s="9" t="n">
        <f aca="false">SUMIF(Inventory!$I$2:$I$78,A2,Inventory!$H$2:$H$78)</f>
        <v>274458.9</v>
      </c>
      <c r="G2" s="11" t="n">
        <f aca="false">F2/E2</f>
        <v>0.609908666666667</v>
      </c>
      <c r="H2" s="12" t="str">
        <f aca="false">IF(G2&gt;1,"Over Capacity",IF(G2&gt;=0.85,"Near Capacity",IF(G2&lt;0.4,"Underutilized","Healthy")))</f>
        <v>Healthy</v>
      </c>
    </row>
    <row r="3" customFormat="false" ht="15" hidden="false" customHeight="false" outlineLevel="0" collapsed="false">
      <c r="A3" s="5" t="s">
        <v>52</v>
      </c>
      <c r="B3" s="5" t="s">
        <v>53</v>
      </c>
      <c r="C3" s="5" t="s">
        <v>54</v>
      </c>
      <c r="D3" s="5" t="s">
        <v>56</v>
      </c>
      <c r="E3" s="8" t="n">
        <v>3200</v>
      </c>
      <c r="F3" s="9" t="n">
        <f aca="false">SUMIF(Inventory!$I$2:$I$78,A3,Inventory!$H$2:$H$78)</f>
        <v>2375.9</v>
      </c>
      <c r="G3" s="11" t="n">
        <f aca="false">F3/E3</f>
        <v>0.74246875</v>
      </c>
      <c r="H3" s="12" t="str">
        <f aca="false">IF(G3&gt;1,"Over Capacity",IF(G3&gt;=0.85,"Near Capacity",IF(G3&lt;0.4,"Underutilized","Healthy")))</f>
        <v>Healthy</v>
      </c>
    </row>
    <row r="4" customFormat="false" ht="15" hidden="false" customHeight="false" outlineLevel="0" collapsed="false">
      <c r="A4" s="5" t="s">
        <v>62</v>
      </c>
      <c r="B4" s="5" t="s">
        <v>63</v>
      </c>
      <c r="C4" s="5" t="s">
        <v>64</v>
      </c>
      <c r="D4" s="5" t="s">
        <v>66</v>
      </c>
      <c r="E4" s="8" t="n">
        <v>7000</v>
      </c>
      <c r="F4" s="9" t="n">
        <f aca="false">SUMIF(Inventory!$I$2:$I$78,A4,Inventory!$H$2:$H$78)</f>
        <v>4082.6</v>
      </c>
      <c r="G4" s="11" t="n">
        <f aca="false">F4/E4</f>
        <v>0.583228571428571</v>
      </c>
      <c r="H4" s="12" t="str">
        <f aca="false">IF(G4&gt;1,"Over Capacity",IF(G4&gt;=0.85,"Near Capacity",IF(G4&lt;0.4,"Underutilized","Healthy")))</f>
        <v>Healthy</v>
      </c>
    </row>
    <row r="5" customFormat="false" ht="15" hidden="false" customHeight="false" outlineLevel="0" collapsed="false">
      <c r="A5" s="5" t="s">
        <v>70</v>
      </c>
      <c r="B5" s="5" t="s">
        <v>71</v>
      </c>
      <c r="C5" s="5" t="s">
        <v>72</v>
      </c>
      <c r="D5" s="5" t="s">
        <v>56</v>
      </c>
      <c r="E5" s="8" t="n">
        <v>3200</v>
      </c>
      <c r="F5" s="9" t="n">
        <f aca="false">SUMIF(Inventory!$I$2:$I$78,A5,Inventory!$H$2:$H$78)</f>
        <v>2980.1</v>
      </c>
      <c r="G5" s="11" t="n">
        <f aca="false">F5/E5</f>
        <v>0.93128125</v>
      </c>
      <c r="H5" s="12" t="str">
        <f aca="false">IF(G5&gt;1,"Over Capacity",IF(G5&gt;=0.85,"Near Capacity",IF(G5&lt;0.4,"Underutilized","Healthy")))</f>
        <v>Near Capacity</v>
      </c>
    </row>
    <row r="6" customFormat="false" ht="15" hidden="false" customHeight="false" outlineLevel="0" collapsed="false">
      <c r="A6" s="13" t="s">
        <v>158</v>
      </c>
      <c r="B6" s="12"/>
      <c r="C6" s="12"/>
      <c r="D6" s="12"/>
      <c r="E6" s="14" t="n">
        <f aca="false">SUM(E2:E5)</f>
        <v>463400</v>
      </c>
      <c r="F6" s="14" t="n">
        <f aca="false">SUM(F2:F5)</f>
        <v>283897.5</v>
      </c>
      <c r="G6" s="15" t="n">
        <f aca="false">F6/E6</f>
        <v>0.612640267587398</v>
      </c>
      <c r="H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6" t="s">
        <v>159</v>
      </c>
      <c r="B1" s="4" t="s">
        <v>152</v>
      </c>
      <c r="C1" s="4" t="s">
        <v>111</v>
      </c>
      <c r="D1" s="4" t="s">
        <v>92</v>
      </c>
      <c r="E1" s="4" t="s">
        <v>147</v>
      </c>
      <c r="F1" s="4" t="s">
        <v>131</v>
      </c>
      <c r="G1" s="4" t="s">
        <v>160</v>
      </c>
    </row>
    <row r="2" customFormat="false" ht="15" hidden="false" customHeight="false" outlineLevel="0" collapsed="false">
      <c r="A2" s="5" t="s">
        <v>95</v>
      </c>
      <c r="B2" s="9" t="n">
        <f aca="false">SUMIFS(Inventory!$H$2:$H$78,Inventory!$I$2:$I$78,$A2,Inventory!$C$2:$C$78,B$1)</f>
        <v>8275</v>
      </c>
      <c r="C2" s="9" t="n">
        <f aca="false">SUMIFS(Inventory!$H$2:$H$78,Inventory!$I$2:$I$78,$A2,Inventory!$C$2:$C$78,C$1)</f>
        <v>53009.1</v>
      </c>
      <c r="D2" s="9" t="n">
        <f aca="false">SUMIFS(Inventory!$H$2:$H$78,Inventory!$I$2:$I$78,$A2,Inventory!$C$2:$C$78,D$1)</f>
        <v>112223.3</v>
      </c>
      <c r="E2" s="9" t="n">
        <f aca="false">SUMIFS(Inventory!$H$2:$H$78,Inventory!$I$2:$I$78,$A2,Inventory!$C$2:$C$78,E$1)</f>
        <v>22094</v>
      </c>
      <c r="F2" s="9" t="n">
        <f aca="false">SUMIFS(Inventory!$H$2:$H$78,Inventory!$I$2:$I$78,$A2,Inventory!$C$2:$C$78,F$1)</f>
        <v>78857.5</v>
      </c>
      <c r="G2" s="14" t="n">
        <f aca="false">SUM(B2:F2)</f>
        <v>274458.9</v>
      </c>
    </row>
    <row r="3" customFormat="false" ht="15" hidden="false" customHeight="false" outlineLevel="0" collapsed="false">
      <c r="A3" s="5" t="s">
        <v>52</v>
      </c>
      <c r="B3" s="9" t="n">
        <f aca="false">SUMIFS(Inventory!$H$2:$H$78,Inventory!$I$2:$I$78,$A3,Inventory!$C$2:$C$78,B$1)</f>
        <v>0</v>
      </c>
      <c r="C3" s="9" t="n">
        <f aca="false">SUMIFS(Inventory!$H$2:$H$78,Inventory!$I$2:$I$78,$A3,Inventory!$C$2:$C$78,C$1)</f>
        <v>316.4</v>
      </c>
      <c r="D3" s="9" t="n">
        <f aca="false">SUMIFS(Inventory!$H$2:$H$78,Inventory!$I$2:$I$78,$A3,Inventory!$C$2:$C$78,D$1)</f>
        <v>75</v>
      </c>
      <c r="E3" s="9" t="n">
        <f aca="false">SUMIFS(Inventory!$H$2:$H$78,Inventory!$I$2:$I$78,$A3,Inventory!$C$2:$C$78,E$1)</f>
        <v>0</v>
      </c>
      <c r="F3" s="9" t="n">
        <f aca="false">SUMIFS(Inventory!$H$2:$H$78,Inventory!$I$2:$I$78,$A3,Inventory!$C$2:$C$78,F$1)</f>
        <v>1984.5</v>
      </c>
      <c r="G3" s="14" t="n">
        <f aca="false">SUM(B3:F3)</f>
        <v>2375.9</v>
      </c>
    </row>
    <row r="4" customFormat="false" ht="15" hidden="false" customHeight="false" outlineLevel="0" collapsed="false">
      <c r="A4" s="5" t="s">
        <v>62</v>
      </c>
      <c r="B4" s="9" t="n">
        <f aca="false">SUMIFS(Inventory!$H$2:$H$78,Inventory!$I$2:$I$78,$A4,Inventory!$C$2:$C$78,B$1)</f>
        <v>0</v>
      </c>
      <c r="C4" s="9" t="n">
        <f aca="false">SUMIFS(Inventory!$H$2:$H$78,Inventory!$I$2:$I$78,$A4,Inventory!$C$2:$C$78,C$1)</f>
        <v>986</v>
      </c>
      <c r="D4" s="9" t="n">
        <f aca="false">SUMIFS(Inventory!$H$2:$H$78,Inventory!$I$2:$I$78,$A4,Inventory!$C$2:$C$78,D$1)</f>
        <v>2301.6</v>
      </c>
      <c r="E4" s="9" t="n">
        <f aca="false">SUMIFS(Inventory!$H$2:$H$78,Inventory!$I$2:$I$78,$A4,Inventory!$C$2:$C$78,E$1)</f>
        <v>0</v>
      </c>
      <c r="F4" s="9" t="n">
        <f aca="false">SUMIFS(Inventory!$H$2:$H$78,Inventory!$I$2:$I$78,$A4,Inventory!$C$2:$C$78,F$1)</f>
        <v>795</v>
      </c>
      <c r="G4" s="14" t="n">
        <f aca="false">SUM(B4:F4)</f>
        <v>4082.6</v>
      </c>
    </row>
    <row r="5" customFormat="false" ht="15" hidden="false" customHeight="false" outlineLevel="0" collapsed="false">
      <c r="A5" s="5" t="s">
        <v>70</v>
      </c>
      <c r="B5" s="9" t="n">
        <f aca="false">SUMIFS(Inventory!$H$2:$H$78,Inventory!$I$2:$I$78,$A5,Inventory!$C$2:$C$78,B$1)</f>
        <v>0</v>
      </c>
      <c r="C5" s="9" t="n">
        <f aca="false">SUMIFS(Inventory!$H$2:$H$78,Inventory!$I$2:$I$78,$A5,Inventory!$C$2:$C$78,C$1)</f>
        <v>474.6</v>
      </c>
      <c r="D5" s="9" t="n">
        <f aca="false">SUMIFS(Inventory!$H$2:$H$78,Inventory!$I$2:$I$78,$A5,Inventory!$C$2:$C$78,D$1)</f>
        <v>200</v>
      </c>
      <c r="E5" s="9" t="n">
        <f aca="false">SUMIFS(Inventory!$H$2:$H$78,Inventory!$I$2:$I$78,$A5,Inventory!$C$2:$C$78,E$1)</f>
        <v>455</v>
      </c>
      <c r="F5" s="9" t="n">
        <f aca="false">SUMIFS(Inventory!$H$2:$H$78,Inventory!$I$2:$I$78,$A5,Inventory!$C$2:$C$78,F$1)</f>
        <v>1850.5</v>
      </c>
      <c r="G5" s="14" t="n">
        <f aca="false">SUM(B5:F5)</f>
        <v>2980.1</v>
      </c>
    </row>
    <row r="6" customFormat="false" ht="15" hidden="false" customHeight="false" outlineLevel="0" collapsed="false">
      <c r="A6" s="13" t="s">
        <v>158</v>
      </c>
      <c r="B6" s="14" t="n">
        <f aca="false">SUM(B2:B5)</f>
        <v>8275</v>
      </c>
      <c r="C6" s="14" t="n">
        <f aca="false">SUM(C2:C5)</f>
        <v>54786.1</v>
      </c>
      <c r="D6" s="14" t="n">
        <f aca="false">SUM(D2:D5)</f>
        <v>114799.9</v>
      </c>
      <c r="E6" s="14" t="n">
        <f aca="false">SUM(E2:E5)</f>
        <v>22549</v>
      </c>
      <c r="F6" s="14" t="n">
        <f aca="false">SUM(F2:F5)</f>
        <v>83487.5</v>
      </c>
      <c r="G6" s="14" t="n">
        <f aca="false">SUM(G2:G5)</f>
        <v>283897.5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2026-08-21T16:49:36Z</dcterms:created>
  <dc:creator>openpyxl</dc:creator>
  <dc:description/>
  <dc:language>en-US</dc:language>
  <cp:lastModifiedBy/>
  <dcterms:modified xsi:type="dcterms:W3CDTF">2026-08-21T16:49:36Z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